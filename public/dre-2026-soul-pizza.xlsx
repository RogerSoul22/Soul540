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6990" tabRatio="871"/>
  </bookViews>
  <sheets>
    <sheet name="DRE 2026" sheetId="38" r:id="rId1"/>
  </sheets>
  <definedNames>
    <definedName name="_impostos">#REF!</definedName>
    <definedName name="_xlnm.Print_Area" localSheetId="0">'DRE 2026'!$A$1:$M$84</definedName>
    <definedName name="CONTAS">#REF!</definedName>
    <definedName name="CONTAS123">#REF!</definedName>
    <definedName name="despesas_mkt">#REF!</definedName>
    <definedName name="despesas_nop">#REF!</definedName>
    <definedName name="despesas_op">#REF!</definedName>
    <definedName name="despesas_produtos">#REF!</definedName>
    <definedName name="despesas_produtos1">#REF!</definedName>
    <definedName name="despesas_rh">#REF!</definedName>
    <definedName name="despesas_serviços">#REF!</definedName>
    <definedName name="impostos">#REF!</definedName>
    <definedName name="plano_de_contas">#REF!</definedName>
    <definedName name="receitas_nop">#REF!</definedName>
    <definedName name="receitas_produtos">#REF!</definedName>
    <definedName name="receitas_serviç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<sst xmlns="http://schemas.openxmlformats.org/spreadsheetml/2006/main" count="90" uniqueCount="80">
  <si>
    <t xml:space="preserve"> </t>
  </si>
  <si>
    <t>AV</t>
  </si>
  <si>
    <t>Total</t>
  </si>
  <si>
    <t>( + ) Faturamentos</t>
  </si>
  <si>
    <t>EVENTO</t>
  </si>
  <si>
    <t>BEBIDAS</t>
  </si>
  <si>
    <t>INGRESSOS</t>
  </si>
  <si>
    <t>PATROCINIOS</t>
  </si>
  <si>
    <t>Total de Faturamentos</t>
  </si>
  <si>
    <t>( - ) Deduções</t>
  </si>
  <si>
    <t>DAS</t>
  </si>
  <si>
    <t>COMISSÕES</t>
  </si>
  <si>
    <t>TAXA DE PLATAFORMA (SYMPLA, ETC)</t>
  </si>
  <si>
    <t>Total de Deduções</t>
  </si>
  <si>
    <t>( = ) Receita Líquida Operacional</t>
  </si>
  <si>
    <t>( - ) Custos Operacionais</t>
  </si>
  <si>
    <t>MÃO DE OBRA DIRETA (GARÇON, AJUDANTES, PIZZAIOLOS)</t>
  </si>
  <si>
    <t>CMV</t>
  </si>
  <si>
    <t>INSUMOS OPERACIONAIS E DECORATIVOS</t>
  </si>
  <si>
    <t>PROPAGANDA E MARKETING</t>
  </si>
  <si>
    <t>LOCAÇÃO DE ESPAÇO</t>
  </si>
  <si>
    <t>EQUIPAMENTO E ESTRUTURA</t>
  </si>
  <si>
    <t>SERVIÇOS DE LIMPEZA</t>
  </si>
  <si>
    <t>Total de Custos - Operacionais</t>
  </si>
  <si>
    <t>( - ) Despesas c/ Logística</t>
  </si>
  <si>
    <t>MÃO DE OBRA INDIRETA  (MOTORISTA)</t>
  </si>
  <si>
    <t>COMBUSTÍVEL</t>
  </si>
  <si>
    <t>PEDÁGIO</t>
  </si>
  <si>
    <t>MANUTENÇÃO VEICULAR</t>
  </si>
  <si>
    <t>IPVA / MULTAS</t>
  </si>
  <si>
    <t>ALIMENTAÇÃO</t>
  </si>
  <si>
    <t>OUTRAS DESPESAS</t>
  </si>
  <si>
    <t>Total Despesas c/ Logística</t>
  </si>
  <si>
    <t>Total Custos</t>
  </si>
  <si>
    <t>( = ) Lucro Bruto / Margem de Contribuição</t>
  </si>
  <si>
    <t>( - ) Despesas Administrativas</t>
  </si>
  <si>
    <t>AGUA</t>
  </si>
  <si>
    <t>TELEFONE/CELULAR</t>
  </si>
  <si>
    <t>INTERNET</t>
  </si>
  <si>
    <t>TELEFONE FIXO</t>
  </si>
  <si>
    <t>ESCRITÓRIO CONTABILIDADE</t>
  </si>
  <si>
    <t>IPTU</t>
  </si>
  <si>
    <t>TAXAS MUNICIPAIS - IMOBILIÁRIO</t>
  </si>
  <si>
    <t>SOFTWARE/INFORMÁTICA</t>
  </si>
  <si>
    <t>MATERIAL DE ESCRITÓRIO</t>
  </si>
  <si>
    <t>PRO LABORE</t>
  </si>
  <si>
    <t>SALÁRIOS - ADMINISTRATIVO</t>
  </si>
  <si>
    <t>MANUTENÇÃO PREDIAL</t>
  </si>
  <si>
    <t>ASSOCIAÇÕES / SINDICATO</t>
  </si>
  <si>
    <t>CARTÓRIO / CORREIOS</t>
  </si>
  <si>
    <t>TARIFAS BANCÁRIAS</t>
  </si>
  <si>
    <t>ALUGUEL</t>
  </si>
  <si>
    <t>DIVERSOS ADMINISTRATIVOS</t>
  </si>
  <si>
    <t>AQUISIÇÃO DE MÓVEIS E EQUIPAMENTOS ADM.</t>
  </si>
  <si>
    <t>CURSOS/TREINAMENTOS/CONSULTORIAS</t>
  </si>
  <si>
    <t>ASSESSORIA JURÍDICA</t>
  </si>
  <si>
    <t>COPA/COZINHA</t>
  </si>
  <si>
    <t>Total Despesas Administrativas</t>
  </si>
  <si>
    <t>( - ) Despesas Comerciais / MKT</t>
  </si>
  <si>
    <t>IMPULSIONAMENTO</t>
  </si>
  <si>
    <t>MATERIAIS IMPRESSOS</t>
  </si>
  <si>
    <t>DESPESAS COM EVENTOS COMERCIAIS, PÓS VENDA E NOVOS CLIENTE</t>
  </si>
  <si>
    <t>REEMBOLSO DE VIAGENS COMERCIAIS</t>
  </si>
  <si>
    <t>BRINDES E PRESENTES</t>
  </si>
  <si>
    <t>Total Despesas Comerciais</t>
  </si>
  <si>
    <t>( - ) Despesas Financeiras</t>
  </si>
  <si>
    <t>JUROS CHEQUE ESPECIAL + ANTECIPAÇÃO</t>
  </si>
  <si>
    <t>JUROS S/ FINANCIAMENTOS</t>
  </si>
  <si>
    <t>JUROS S/ FORNECEDORES</t>
  </si>
  <si>
    <t>Total Despesas Financeiras</t>
  </si>
  <si>
    <t>Total Despesas Adm/Comerciais/Financeiras</t>
  </si>
  <si>
    <t>( = ) Lucro Liquido Operacional</t>
  </si>
  <si>
    <t>( = ) Resultado Liquido Acumulado</t>
  </si>
  <si>
    <t>(+) Receitas não-operacionais</t>
  </si>
  <si>
    <t xml:space="preserve">INVESTIMENTO - CONSORCIO </t>
  </si>
  <si>
    <t>FINANCIAMENTO -</t>
  </si>
  <si>
    <t>EMPRESTIMO - PRONAMPE</t>
  </si>
  <si>
    <t>TOTAL OUTRAS SAÍDAS</t>
  </si>
  <si>
    <t>( = ) Resultado Após Emprestimos/Investimentos</t>
  </si>
  <si>
    <t>( = ) Resultado Liquido Acumulado Após Empr.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</si>
</sst>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##,###,###,##0.00"/>
    <numFmt numFmtId="181" formatCode="_(* #,##0.00_);_(* \(#,##0.00\);_(* &quot;-&quot;??_);_(@_)"/>
    <numFmt numFmtId="182" formatCode="_-[$R$-416]\ * #,##0.00_-;\-[$R$-416]\ * #,##0.00_-;_-[$R$-416]\ * &quot;-&quot;??_-;_-@_-"/>
  </numFmts>
  <fonts count="42">
    <font>
      <sz val="11"/>
      <color theme="1"/>
      <name val="Calibri"/>
      <charset val="134"/>
      <scheme val="minor"/>
    </font>
    <font>
      <sz val="8"/>
      <name val="Arial"/>
      <charset val="134"/>
    </font>
    <font>
      <sz val="10"/>
      <name val="Arial"/>
      <charset val="134"/>
    </font>
    <font>
      <b/>
      <sz val="48"/>
      <name val="Calibri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sz val="9"/>
      <name val="Arial"/>
      <charset val="134"/>
    </font>
    <font>
      <sz val="8"/>
      <color rgb="FF000000"/>
      <name val="Calibri"/>
      <charset val="134"/>
    </font>
    <font>
      <b/>
      <sz val="8"/>
      <name val="Arial"/>
      <charset val="134"/>
    </font>
    <font>
      <sz val="8"/>
      <name val="Calibri"/>
      <charset val="134"/>
    </font>
    <font>
      <b/>
      <sz val="8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8"/>
      <color indexed="8"/>
      <name val="MS Sans Serif"/>
      <charset val="134"/>
    </font>
    <font>
      <b/>
      <sz val="8"/>
      <color indexed="9"/>
      <name val="Tahoma"/>
      <charset val="134"/>
    </font>
    <font>
      <sz val="11"/>
      <color indexed="8"/>
      <name val="Calibri"/>
      <charset val="134"/>
    </font>
    <font>
      <sz val="8"/>
      <color indexed="62"/>
      <name val="Tahoma"/>
      <charset val="134"/>
    </font>
    <font>
      <sz val="10"/>
      <color indexed="0"/>
      <name val="Arial"/>
      <charset val="134"/>
    </font>
    <font>
      <sz val="10"/>
      <color theme="1"/>
      <name val="Calibri"/>
      <charset val="134"/>
    </font>
    <font>
      <sz val="8"/>
      <color indexed="8"/>
      <name val="Tahoma"/>
      <charset val="134"/>
    </font>
    <font>
      <b/>
      <sz val="8"/>
      <color indexed="8"/>
      <name val="Tahoma"/>
      <charset val="134"/>
    </font>
    <font>
      <sz val="9"/>
      <color indexed="63"/>
      <name val="Arial"/>
      <charset val="134"/>
    </font>
    <font>
      <sz val="9"/>
      <color indexed="8"/>
      <name val="Arial"/>
      <charset val="134"/>
    </font>
    <font>
      <b/>
      <sz val="9"/>
      <color indexed="63"/>
      <name val="Arial"/>
      <charset val="134"/>
    </font>
    <font>
      <sz val="18"/>
      <color indexed="62"/>
      <name val="Tahoma"/>
      <charset val="134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1" tint="0.149021881771294"/>
        </stop>
        <stop position="0.5">
          <color theme="1" tint="0.250984221930601"/>
        </stop>
        <stop position="1">
          <color theme="1" tint="0.149021881771294"/>
        </stop>
      </gradientFill>
    </fill>
    <fill>
      <patternFill patternType="solid">
        <fgColor theme="0" tint="-0.149998474074526"/>
        <bgColor indexed="64"/>
      </patternFill>
    </fill>
    <fill>
      <gradientFill>
        <stop position="0">
          <color theme="1" tint="0.149021881771294"/>
        </stop>
        <stop position="0.5">
          <color theme="1" tint="0.250984221930601"/>
        </stop>
        <stop position="1">
          <color theme="1" tint="0.149021881771294"/>
        </stop>
      </gradientFill>
    </fill>
    <fill>
      <patternFill patternType="solid">
        <fgColor rgb="FFFFFFFF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9FCFD"/>
        <bgColor indexed="64"/>
      </patternFill>
    </fill>
    <fill>
      <patternFill patternType="solid">
        <fgColor rgb="FF001748"/>
        <bgColor indexed="64"/>
      </patternFill>
    </fill>
    <fill>
      <patternFill patternType="solid">
        <fgColor rgb="FF316AC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D8DDE6"/>
        <bgColor indexed="64"/>
      </patternFill>
    </fill>
    <fill>
      <patternFill patternType="solid">
        <fgColor rgb="FFE4EC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29536"/>
        <bgColor indexed="64"/>
      </patternFill>
    </fill>
    <fill>
      <patternFill patternType="solid">
        <fgColor rgb="FFDFEDFF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hair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2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2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3" applyNumberFormat="0" applyFill="0" applyAlignment="0" applyProtection="0"/>
    <xf numFmtId="0" fontId="18" fillId="0" borderId="24" applyNumberFormat="0" applyFill="0" applyAlignment="0" applyProtection="0"/>
    <xf numFmtId="0" fontId="19" fillId="0" borderId="25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26" applyNumberFormat="0" applyAlignment="0" applyProtection="0"/>
    <xf numFmtId="0" fontId="21" fillId="10" borderId="27" applyNumberFormat="0" applyAlignment="0" applyProtection="0"/>
    <xf numFmtId="0" fontId="22" fillId="10" borderId="26" applyNumberFormat="0" applyAlignment="0" applyProtection="0"/>
    <xf numFmtId="0" fontId="23" fillId="11" borderId="28" applyNumberFormat="0" applyAlignment="0" applyProtection="0"/>
    <xf numFmtId="0" fontId="24" fillId="0" borderId="29" applyNumberFormat="0" applyFill="0" applyAlignment="0" applyProtection="0"/>
    <xf numFmtId="0" fontId="25" fillId="0" borderId="30" applyNumberFormat="0" applyFill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9" fillId="34" borderId="0" applyNumberFormat="0" applyBorder="0" applyAlignment="0" applyProtection="0"/>
    <xf numFmtId="0" fontId="29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9" fillId="38" borderId="0" applyNumberFormat="0" applyBorder="0" applyAlignment="0" applyProtection="0"/>
    <xf numFmtId="0" fontId="30" fillId="39" borderId="10">
      <alignment horizontal="left" vertical="top" wrapText="1"/>
    </xf>
    <xf numFmtId="0" fontId="30" fillId="39" borderId="10">
      <alignment horizontal="left" vertical="top" wrapText="1"/>
    </xf>
    <xf numFmtId="0" fontId="31" fillId="40" borderId="10">
      <alignment horizontal="left" vertical="center" wrapText="1"/>
    </xf>
    <xf numFmtId="0" fontId="31" fillId="40" borderId="10">
      <alignment horizontal="left" vertical="center" wrapText="1"/>
    </xf>
    <xf numFmtId="0" fontId="32" fillId="0" borderId="0"/>
    <xf numFmtId="0" fontId="31" fillId="41" borderId="10">
      <alignment horizontal="left" vertical="center" wrapText="1"/>
    </xf>
    <xf numFmtId="0" fontId="31" fillId="41" borderId="10">
      <alignment horizontal="left" vertical="center" wrapText="1"/>
    </xf>
    <xf numFmtId="0" fontId="33" fillId="42" borderId="10">
      <alignment horizontal="left" vertical="center" wrapText="1"/>
    </xf>
    <xf numFmtId="0" fontId="33" fillId="42" borderId="10">
      <alignment horizontal="left" vertical="center" wrapText="1"/>
    </xf>
    <xf numFmtId="0" fontId="33" fillId="42" borderId="10">
      <alignment horizontal="left" vertical="center" wrapText="1"/>
    </xf>
    <xf numFmtId="0" fontId="33" fillId="42" borderId="10">
      <alignment horizontal="left" vertical="center" wrapText="1"/>
    </xf>
    <xf numFmtId="0" fontId="30" fillId="43" borderId="10">
      <alignment horizontal="left" vertical="top" wrapText="1"/>
    </xf>
    <xf numFmtId="0" fontId="30" fillId="43" borderId="10">
      <alignment horizontal="left" vertical="top" wrapText="1"/>
    </xf>
    <xf numFmtId="177" fontId="0" fillId="0" borderId="0" applyFont="0" applyFill="0" applyBorder="0" applyAlignment="0" applyProtection="0"/>
    <xf numFmtId="0" fontId="2" fillId="0" borderId="0"/>
    <xf numFmtId="0" fontId="2" fillId="0" borderId="0"/>
    <xf numFmtId="0" fontId="34" fillId="0" borderId="0" applyNumberFormat="0" applyFill="0" applyBorder="0" applyAlignment="0" applyProtection="0"/>
    <xf numFmtId="0" fontId="2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9" fontId="35" fillId="0" borderId="0" applyFont="0" applyFill="0" applyBorder="0" applyAlignment="0" applyProtection="0"/>
    <xf numFmtId="0" fontId="36" fillId="44" borderId="10">
      <alignment horizontal="left" vertical="top" wrapText="1"/>
    </xf>
    <xf numFmtId="0" fontId="36" fillId="44" borderId="10">
      <alignment horizontal="left" vertical="top" wrapText="1"/>
    </xf>
    <xf numFmtId="0" fontId="37" fillId="44" borderId="10">
      <alignment horizontal="left" vertical="top" wrapText="1"/>
    </xf>
    <xf numFmtId="0" fontId="37" fillId="44" borderId="10">
      <alignment horizontal="left" vertical="top" wrapText="1"/>
    </xf>
    <xf numFmtId="180" fontId="38" fillId="45" borderId="10">
      <alignment horizontal="right" vertical="top" wrapText="1"/>
    </xf>
    <xf numFmtId="180" fontId="38" fillId="45" borderId="10">
      <alignment horizontal="right" vertical="top" wrapText="1"/>
    </xf>
    <xf numFmtId="180" fontId="39" fillId="46" borderId="10">
      <alignment horizontal="right" vertical="top" wrapText="1"/>
    </xf>
    <xf numFmtId="180" fontId="39" fillId="46" borderId="10">
      <alignment horizontal="right" vertical="top" wrapText="1"/>
    </xf>
    <xf numFmtId="180" fontId="40" fillId="47" borderId="10">
      <alignment horizontal="right" vertical="top" wrapText="1"/>
    </xf>
    <xf numFmtId="180" fontId="40" fillId="47" borderId="10">
      <alignment horizontal="right" vertical="top" wrapText="1"/>
    </xf>
    <xf numFmtId="0" fontId="41" fillId="48" borderId="10">
      <alignment horizontal="center" vertical="center" wrapText="1"/>
    </xf>
    <xf numFmtId="0" fontId="41" fillId="48" borderId="10">
      <alignment horizontal="center" vertical="center" wrapText="1"/>
    </xf>
    <xf numFmtId="181" fontId="2" fillId="0" borderId="0" applyFont="0" applyFill="0" applyBorder="0" applyAlignment="0" applyProtection="0"/>
    <xf numFmtId="176" fontId="2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64" applyFont="1" applyAlignment="1">
      <alignment horizontal="center" vertical="center"/>
    </xf>
    <xf numFmtId="0" fontId="2" fillId="0" borderId="0" xfId="64"/>
    <xf numFmtId="0" fontId="3" fillId="2" borderId="1" xfId="64" applyFont="1" applyFill="1" applyBorder="1" applyAlignment="1">
      <alignment horizontal="center" vertical="center"/>
    </xf>
    <xf numFmtId="0" fontId="3" fillId="2" borderId="2" xfId="64" applyFont="1" applyFill="1" applyBorder="1" applyAlignment="1">
      <alignment horizontal="center" vertical="center"/>
    </xf>
    <xf numFmtId="0" fontId="4" fillId="3" borderId="3" xfId="64" applyFont="1" applyFill="1" applyBorder="1" applyAlignment="1">
      <alignment horizontal="center" vertical="center"/>
    </xf>
    <xf numFmtId="17" fontId="5" fillId="3" borderId="4" xfId="64" applyNumberFormat="1" applyFont="1" applyFill="1" applyBorder="1" applyAlignment="1">
      <alignment horizontal="center" vertical="center"/>
    </xf>
    <xf numFmtId="17" fontId="5" fillId="3" borderId="5" xfId="64" applyNumberFormat="1" applyFont="1" applyFill="1" applyBorder="1" applyAlignment="1">
      <alignment horizontal="center" vertical="center"/>
    </xf>
    <xf numFmtId="17" fontId="5" fillId="3" borderId="0" xfId="64" applyNumberFormat="1" applyFont="1" applyFill="1" applyAlignment="1">
      <alignment horizontal="center" vertical="center"/>
    </xf>
    <xf numFmtId="0" fontId="6" fillId="4" borderId="6" xfId="64" applyFont="1" applyFill="1" applyBorder="1" applyAlignment="1">
      <alignment horizontal="left" vertical="center"/>
    </xf>
    <xf numFmtId="0" fontId="5" fillId="5" borderId="7" xfId="64" applyFont="1" applyFill="1" applyBorder="1" applyAlignment="1">
      <alignment vertical="center"/>
    </xf>
    <xf numFmtId="0" fontId="7" fillId="6" borderId="8" xfId="0" applyFont="1" applyFill="1" applyBorder="1" applyAlignment="1">
      <alignment horizontal="left"/>
    </xf>
    <xf numFmtId="177" fontId="1" fillId="0" borderId="9" xfId="2" applyFont="1" applyFill="1" applyBorder="1" applyAlignment="1">
      <alignment horizontal="center" vertical="center"/>
    </xf>
    <xf numFmtId="10" fontId="5" fillId="5" borderId="10" xfId="3" applyNumberFormat="1" applyFont="1" applyFill="1" applyBorder="1" applyAlignment="1">
      <alignment horizontal="center" vertical="center"/>
    </xf>
    <xf numFmtId="177" fontId="8" fillId="4" borderId="10" xfId="2" applyFont="1" applyFill="1" applyBorder="1" applyAlignment="1">
      <alignment horizontal="center" vertical="center"/>
    </xf>
    <xf numFmtId="10" fontId="8" fillId="4" borderId="11" xfId="3" applyNumberFormat="1" applyFont="1" applyFill="1" applyBorder="1" applyAlignment="1">
      <alignment horizontal="center" vertical="center"/>
    </xf>
    <xf numFmtId="177" fontId="1" fillId="0" borderId="12" xfId="2" applyFont="1" applyFill="1" applyBorder="1" applyAlignment="1">
      <alignment horizontal="center" vertical="center"/>
    </xf>
    <xf numFmtId="182" fontId="1" fillId="0" borderId="0" xfId="64" applyNumberFormat="1" applyFont="1" applyAlignment="1">
      <alignment horizontal="center" vertical="center"/>
    </xf>
    <xf numFmtId="0" fontId="6" fillId="4" borderId="10" xfId="64" applyFont="1" applyFill="1" applyBorder="1" applyAlignment="1">
      <alignment horizontal="left" vertical="center"/>
    </xf>
    <xf numFmtId="177" fontId="2" fillId="0" borderId="0" xfId="64" applyNumberFormat="1"/>
    <xf numFmtId="0" fontId="8" fillId="4" borderId="6" xfId="64" applyFont="1" applyFill="1" applyBorder="1" applyAlignment="1">
      <alignment vertical="center"/>
    </xf>
    <xf numFmtId="0" fontId="8" fillId="4" borderId="6" xfId="64" applyFont="1" applyFill="1" applyBorder="1" applyAlignment="1">
      <alignment horizontal="center" vertical="center"/>
    </xf>
    <xf numFmtId="0" fontId="8" fillId="4" borderId="11" xfId="64" applyFont="1" applyFill="1" applyBorder="1" applyAlignment="1">
      <alignment horizontal="center" vertical="center"/>
    </xf>
    <xf numFmtId="177" fontId="1" fillId="2" borderId="13" xfId="2" applyFont="1" applyFill="1" applyBorder="1" applyAlignment="1">
      <alignment horizontal="center" vertical="center"/>
    </xf>
    <xf numFmtId="177" fontId="1" fillId="2" borderId="9" xfId="2" applyFont="1" applyFill="1" applyBorder="1" applyAlignment="1">
      <alignment horizontal="center" vertical="center"/>
    </xf>
    <xf numFmtId="177" fontId="8" fillId="4" borderId="10" xfId="64" applyNumberFormat="1" applyFont="1" applyFill="1" applyBorder="1" applyAlignment="1">
      <alignment vertical="center"/>
    </xf>
    <xf numFmtId="177" fontId="8" fillId="4" borderId="10" xfId="64" applyNumberFormat="1" applyFont="1" applyFill="1" applyBorder="1" applyAlignment="1">
      <alignment horizontal="center" vertical="center"/>
    </xf>
    <xf numFmtId="0" fontId="8" fillId="4" borderId="14" xfId="64" applyFont="1" applyFill="1" applyBorder="1" applyAlignment="1">
      <alignment vertical="center"/>
    </xf>
    <xf numFmtId="10" fontId="5" fillId="5" borderId="11" xfId="3" applyNumberFormat="1" applyFont="1" applyFill="1" applyBorder="1" applyAlignment="1">
      <alignment horizontal="center" vertical="center"/>
    </xf>
    <xf numFmtId="0" fontId="6" fillId="4" borderId="7" xfId="64" applyFont="1" applyFill="1" applyBorder="1" applyAlignment="1">
      <alignment vertical="center"/>
    </xf>
    <xf numFmtId="0" fontId="6" fillId="4" borderId="11" xfId="64" applyFont="1" applyFill="1" applyBorder="1" applyAlignment="1">
      <alignment vertical="center"/>
    </xf>
    <xf numFmtId="177" fontId="1" fillId="0" borderId="13" xfId="2" applyFont="1" applyFill="1" applyBorder="1" applyAlignment="1">
      <alignment horizontal="center" vertical="center"/>
    </xf>
    <xf numFmtId="177" fontId="1" fillId="2" borderId="15" xfId="2" applyFont="1" applyFill="1" applyBorder="1" applyAlignment="1">
      <alignment horizontal="center" vertical="center"/>
    </xf>
    <xf numFmtId="177" fontId="8" fillId="4" borderId="16" xfId="64" applyNumberFormat="1" applyFont="1" applyFill="1" applyBorder="1" applyAlignment="1">
      <alignment vertical="center"/>
    </xf>
    <xf numFmtId="0" fontId="6" fillId="4" borderId="10" xfId="64" applyFont="1" applyFill="1" applyBorder="1"/>
    <xf numFmtId="0" fontId="6" fillId="4" borderId="6" xfId="64" applyFont="1" applyFill="1" applyBorder="1" applyAlignment="1">
      <alignment vertical="center"/>
    </xf>
    <xf numFmtId="0" fontId="7" fillId="0" borderId="17" xfId="0" applyFont="1" applyFill="1" applyBorder="1" applyAlignment="1">
      <alignment horizontal="left"/>
    </xf>
    <xf numFmtId="0" fontId="6" fillId="4" borderId="10" xfId="64" applyFont="1" applyFill="1" applyBorder="1" applyAlignment="1">
      <alignment vertical="center"/>
    </xf>
    <xf numFmtId="0" fontId="7" fillId="6" borderId="17" xfId="0" applyFont="1" applyFill="1" applyBorder="1" applyAlignment="1">
      <alignment horizontal="left"/>
    </xf>
    <xf numFmtId="0" fontId="9" fillId="6" borderId="18" xfId="0" applyFont="1" applyFill="1" applyBorder="1"/>
    <xf numFmtId="0" fontId="9" fillId="6" borderId="19" xfId="0" applyFont="1" applyFill="1" applyBorder="1"/>
    <xf numFmtId="177" fontId="1" fillId="2" borderId="12" xfId="2" applyFont="1" applyFill="1" applyBorder="1" applyAlignment="1">
      <alignment horizontal="center" vertical="center"/>
    </xf>
    <xf numFmtId="0" fontId="9" fillId="6" borderId="20" xfId="0" applyFont="1" applyFill="1" applyBorder="1"/>
    <xf numFmtId="177" fontId="1" fillId="0" borderId="21" xfId="2" applyFont="1" applyFill="1" applyBorder="1" applyAlignment="1">
      <alignment horizontal="center" vertical="center"/>
    </xf>
    <xf numFmtId="0" fontId="6" fillId="7" borderId="6" xfId="64" applyFont="1" applyFill="1" applyBorder="1" applyAlignment="1">
      <alignment horizontal="left" vertical="center"/>
    </xf>
    <xf numFmtId="177" fontId="8" fillId="7" borderId="10" xfId="64" applyNumberFormat="1" applyFont="1" applyFill="1" applyBorder="1" applyAlignment="1">
      <alignment vertical="center"/>
    </xf>
    <xf numFmtId="10" fontId="8" fillId="7" borderId="11" xfId="3" applyNumberFormat="1" applyFont="1" applyFill="1" applyBorder="1" applyAlignment="1">
      <alignment horizontal="center" vertical="center"/>
    </xf>
    <xf numFmtId="0" fontId="6" fillId="7" borderId="10" xfId="64" applyFont="1" applyFill="1" applyBorder="1"/>
    <xf numFmtId="177" fontId="8" fillId="7" borderId="10" xfId="2" applyFont="1" applyFill="1" applyBorder="1" applyAlignment="1">
      <alignment horizontal="center" vertical="center"/>
    </xf>
    <xf numFmtId="177" fontId="8" fillId="2" borderId="13" xfId="64" applyNumberFormat="1" applyFont="1" applyFill="1" applyBorder="1" applyAlignment="1">
      <alignment vertical="center"/>
    </xf>
    <xf numFmtId="177" fontId="8" fillId="2" borderId="21" xfId="64" applyNumberFormat="1" applyFont="1" applyFill="1" applyBorder="1" applyAlignment="1">
      <alignment vertical="center"/>
    </xf>
    <xf numFmtId="0" fontId="5" fillId="5" borderId="10" xfId="3" applyNumberFormat="1" applyFont="1" applyFill="1" applyBorder="1" applyAlignment="1">
      <alignment horizontal="center" vertical="center"/>
    </xf>
    <xf numFmtId="0" fontId="9" fillId="4" borderId="6" xfId="64" applyFont="1" applyFill="1" applyBorder="1" applyAlignment="1">
      <alignment horizontal="left" vertical="center"/>
    </xf>
    <xf numFmtId="0" fontId="10" fillId="7" borderId="6" xfId="64" applyFont="1" applyFill="1" applyBorder="1" applyAlignment="1">
      <alignment horizontal="left" vertical="center"/>
    </xf>
    <xf numFmtId="177" fontId="2" fillId="0" borderId="0" xfId="2" applyFont="1"/>
    <xf numFmtId="9" fontId="2" fillId="0" borderId="0" xfId="3" applyFont="1"/>
  </cellXfs>
  <cellStyles count="92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body" xfId="49"/>
    <cellStyle name="body 2" xfId="50"/>
    <cellStyle name="dimension title" xfId="51"/>
    <cellStyle name="dimension title 2" xfId="52"/>
    <cellStyle name="Excel Built-in Normal" xfId="53"/>
    <cellStyle name="fact heading" xfId="54"/>
    <cellStyle name="fact heading 2" xfId="55"/>
    <cellStyle name="footer" xfId="56"/>
    <cellStyle name="footer 2" xfId="57"/>
    <cellStyle name="header" xfId="58"/>
    <cellStyle name="header 2" xfId="59"/>
    <cellStyle name="hidden" xfId="60"/>
    <cellStyle name="hidden 2" xfId="61"/>
    <cellStyle name="Moeda 2" xfId="62"/>
    <cellStyle name="Normal 12" xfId="63"/>
    <cellStyle name="Normal 2" xfId="64"/>
    <cellStyle name="Normal 2 2" xfId="65"/>
    <cellStyle name="Normal 2 2 2" xfId="66"/>
    <cellStyle name="Normal 2 3" xfId="67"/>
    <cellStyle name="Normal 3" xfId="68"/>
    <cellStyle name="Normal 4" xfId="69"/>
    <cellStyle name="Normal 4 2" xfId="70"/>
    <cellStyle name="Normal 5" xfId="71"/>
    <cellStyle name="Normal 6" xfId="72"/>
    <cellStyle name="Normal 6 2" xfId="73"/>
    <cellStyle name="Normal 7" xfId="74"/>
    <cellStyle name="Normal 7 2" xfId="75"/>
    <cellStyle name="Normal 8" xfId="76"/>
    <cellStyle name="Porcentagem 2" xfId="77"/>
    <cellStyle name="style07" xfId="78"/>
    <cellStyle name="style07 2" xfId="79"/>
    <cellStyle name="style08" xfId="80"/>
    <cellStyle name="style08 2" xfId="81"/>
    <cellStyle name="style09" xfId="82"/>
    <cellStyle name="style09 2" xfId="83"/>
    <cellStyle name="style10" xfId="84"/>
    <cellStyle name="style10 2" xfId="85"/>
    <cellStyle name="style11" xfId="86"/>
    <cellStyle name="style11 2" xfId="87"/>
    <cellStyle name="title" xfId="88"/>
    <cellStyle name="title 2" xfId="89"/>
    <cellStyle name="Vírgula 2" xfId="90"/>
    <cellStyle name="Vírgula 2 2" xfId="91"/>
  </cellStyles>
  <tableStyles count="0" defaultTableStyle="TableStyleMedium9" defaultPivotStyle="PivotStyleLight16"/>
  <colors>
    <mruColors>
      <color rgb="00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18"/>
  <sheetViews>
    <sheetView showGridLines="0" tabSelected="1" workbookViewId="0">
      <pane xSplit="1" ySplit="3" topLeftCell="B4" activePane="bottomRight" state="frozen"/>
      <selection/>
      <selection pane="topRight"/>
      <selection pane="bottomLeft"/>
      <selection pane="bottomRight" activeCell="G108" sqref="G108:L119"/>
    </sheetView>
  </sheetViews>
  <sheetFormatPr defaultColWidth="9.28571428571429" defaultRowHeight="12.75"/>
  <cols>
    <col min="1" max="1" width="45.8571428571429" style="2" customWidth="1"/>
    <col min="2" max="2" width="13.7142857142857" style="2" customWidth="1"/>
    <col min="3" max="3" width="6.71428571428571" style="2" customWidth="1"/>
    <col min="4" max="4" width="12.2857142857143" style="2" customWidth="1"/>
    <col min="5" max="5" width="5.71428571428571" style="2" customWidth="1"/>
    <col min="6" max="6" width="12.2857142857143" style="2" customWidth="1"/>
    <col min="7" max="7" width="6.28571428571429" style="2" customWidth="1"/>
    <col min="8" max="8" width="13.7142857142857" style="2" customWidth="1"/>
    <col min="9" max="9" width="6.42857142857143" style="2" customWidth="1"/>
    <col min="10" max="10" width="14.2857142857143" style="2" customWidth="1"/>
    <col min="11" max="11" width="7" style="2" customWidth="1"/>
    <col min="12" max="12" width="12.2857142857143" style="2" customWidth="1"/>
    <col min="13" max="13" width="6.14285714285714" style="2" customWidth="1"/>
    <col min="14" max="14" width="13.7142857142857" style="2" customWidth="1"/>
    <col min="15" max="15" width="7" style="2" customWidth="1"/>
    <col min="16" max="17" width="14.2857142857143" style="2" customWidth="1"/>
    <col min="18" max="19" width="10.4285714285714" style="2" customWidth="1"/>
    <col min="20" max="16384" width="9.28571428571429" style="2"/>
  </cols>
  <sheetData>
    <row r="1" ht="57" customHeight="1" spans="1:19">
      <c r="A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9">
      <c r="A2" s="5" t="s">
        <v>0</v>
      </c>
      <c r="B2" s="6">
        <v>46204</v>
      </c>
      <c r="C2" s="7" t="s">
        <v>1</v>
      </c>
      <c r="D2" s="6">
        <v>46235</v>
      </c>
      <c r="E2" s="7" t="s">
        <v>1</v>
      </c>
      <c r="F2" s="6">
        <v>46266</v>
      </c>
      <c r="G2" s="7" t="s">
        <v>1</v>
      </c>
      <c r="H2" s="6">
        <v>46296</v>
      </c>
      <c r="I2" s="7" t="s">
        <v>1</v>
      </c>
      <c r="J2" s="6">
        <v>46327</v>
      </c>
      <c r="K2" s="7" t="s">
        <v>1</v>
      </c>
      <c r="L2" s="6">
        <v>46357</v>
      </c>
      <c r="M2" s="7" t="s">
        <v>1</v>
      </c>
      <c r="N2" s="8" t="s">
        <v>2</v>
      </c>
      <c r="O2" s="7" t="s">
        <v>1</v>
      </c>
    </row>
    <row r="3" s="1" customFormat="1" ht="12" spans="1:19">
      <c r="A3" s="9" t="s">
        <v>3</v>
      </c>
      <c r="B3" s="9"/>
      <c r="C3" s="10"/>
      <c r="D3" s="9"/>
      <c r="E3" s="10"/>
      <c r="F3" s="9"/>
      <c r="G3" s="10"/>
      <c r="H3" s="9"/>
      <c r="I3" s="10"/>
      <c r="J3" s="9"/>
      <c r="K3" s="10"/>
      <c r="L3" s="9"/>
      <c r="M3" s="10"/>
      <c r="N3" s="9"/>
      <c r="O3" s="9"/>
    </row>
    <row r="4" s="1" customFormat="1" ht="11.25" spans="1:19">
      <c r="A4" s="11" t="s">
        <v>4</v>
      </c>
      <c r="B4" s="12">
        <v>0</v>
      </c>
      <c r="C4" s="13" t="e">
        <f t="shared" ref="C4:C9" si="0">B4/$B$9</f>
        <v>#DIV/0!</v>
      </c>
      <c r="D4" s="12">
        <v>0</v>
      </c>
      <c r="E4" s="13" t="e">
        <f t="shared" ref="E4:E9" si="1">D4/$D$9</f>
        <v>#DIV/0!</v>
      </c>
      <c r="F4" s="12">
        <v>0</v>
      </c>
      <c r="G4" s="13" t="e">
        <f t="shared" ref="G4:G9" si="2">F4/$F$9</f>
        <v>#DIV/0!</v>
      </c>
      <c r="H4" s="12">
        <v>0</v>
      </c>
      <c r="I4" s="13" t="e">
        <f t="shared" ref="I4:I9" si="3">H4/$H$9</f>
        <v>#DIV/0!</v>
      </c>
      <c r="J4" s="12">
        <v>0</v>
      </c>
      <c r="K4" s="13" t="e">
        <f t="shared" ref="K4:K9" si="4">J4/$J$9</f>
        <v>#DIV/0!</v>
      </c>
      <c r="L4" s="12">
        <v>0</v>
      </c>
      <c r="M4" s="13" t="e">
        <f t="shared" ref="M4:M9" si="5">L4/$L$9</f>
        <v>#DIV/0!</v>
      </c>
      <c r="N4" s="14">
        <f>B4+D4+F4+H4+J4+L4</f>
        <v>0</v>
      </c>
      <c r="O4" s="15" t="e">
        <f t="shared" ref="O4:O9" si="6">N4/$N$9</f>
        <v>#DIV/0!</v>
      </c>
    </row>
    <row r="5" s="1" customFormat="1" ht="11.25" spans="1:19">
      <c r="A5" s="11" t="s">
        <v>5</v>
      </c>
      <c r="B5" s="12">
        <v>0</v>
      </c>
      <c r="C5" s="13" t="e">
        <f t="shared" si="0"/>
        <v>#DIV/0!</v>
      </c>
      <c r="D5" s="12">
        <v>0</v>
      </c>
      <c r="E5" s="13" t="e">
        <f t="shared" si="1"/>
        <v>#DIV/0!</v>
      </c>
      <c r="F5" s="12">
        <v>0</v>
      </c>
      <c r="G5" s="13" t="e">
        <f t="shared" si="2"/>
        <v>#DIV/0!</v>
      </c>
      <c r="H5" s="12">
        <v>0</v>
      </c>
      <c r="I5" s="13" t="e">
        <f t="shared" si="3"/>
        <v>#DIV/0!</v>
      </c>
      <c r="J5" s="12">
        <v>0</v>
      </c>
      <c r="K5" s="13" t="e">
        <f t="shared" si="4"/>
        <v>#DIV/0!</v>
      </c>
      <c r="L5" s="12">
        <v>0</v>
      </c>
      <c r="M5" s="13" t="e">
        <f t="shared" si="5"/>
        <v>#DIV/0!</v>
      </c>
      <c r="N5" s="14">
        <f t="shared" ref="N5:N6" si="7">B5+D5+F5+H5+J5+L5</f>
        <v>0</v>
      </c>
      <c r="O5" s="15" t="e">
        <f t="shared" si="6"/>
        <v>#DIV/0!</v>
      </c>
    </row>
    <row r="6" s="1" customFormat="1" ht="11.25" spans="1:19">
      <c r="A6" s="11" t="s">
        <v>6</v>
      </c>
      <c r="B6" s="12">
        <v>0</v>
      </c>
      <c r="C6" s="13" t="e">
        <f t="shared" si="0"/>
        <v>#DIV/0!</v>
      </c>
      <c r="D6" s="12">
        <v>0</v>
      </c>
      <c r="E6" s="13" t="e">
        <f t="shared" si="1"/>
        <v>#DIV/0!</v>
      </c>
      <c r="F6" s="12">
        <v>0</v>
      </c>
      <c r="G6" s="13" t="e">
        <f t="shared" si="2"/>
        <v>#DIV/0!</v>
      </c>
      <c r="H6" s="12">
        <v>0</v>
      </c>
      <c r="I6" s="13" t="e">
        <f t="shared" si="3"/>
        <v>#DIV/0!</v>
      </c>
      <c r="J6" s="12">
        <v>0</v>
      </c>
      <c r="K6" s="13" t="e">
        <f t="shared" si="4"/>
        <v>#DIV/0!</v>
      </c>
      <c r="L6" s="12">
        <v>0</v>
      </c>
      <c r="M6" s="13" t="e">
        <f t="shared" si="5"/>
        <v>#DIV/0!</v>
      </c>
      <c r="N6" s="14">
        <f t="shared" si="7"/>
        <v>0</v>
      </c>
      <c r="O6" s="15" t="e">
        <f t="shared" si="6"/>
        <v>#DIV/0!</v>
      </c>
    </row>
    <row r="7" s="1" customFormat="1" ht="11.25" spans="1:19">
      <c r="A7" s="11" t="s">
        <v>7</v>
      </c>
      <c r="B7" s="12">
        <v>0</v>
      </c>
      <c r="C7" s="13" t="e">
        <f t="shared" si="0"/>
        <v>#DIV/0!</v>
      </c>
      <c r="D7" s="12">
        <v>0</v>
      </c>
      <c r="E7" s="13" t="e">
        <f t="shared" si="1"/>
        <v>#DIV/0!</v>
      </c>
      <c r="F7" s="12">
        <v>0</v>
      </c>
      <c r="G7" s="13" t="e">
        <f t="shared" si="2"/>
        <v>#DIV/0!</v>
      </c>
      <c r="H7" s="12">
        <v>0</v>
      </c>
      <c r="I7" s="13" t="e">
        <f t="shared" si="3"/>
        <v>#DIV/0!</v>
      </c>
      <c r="J7" s="12">
        <v>0</v>
      </c>
      <c r="K7" s="13" t="e">
        <f t="shared" si="4"/>
        <v>#DIV/0!</v>
      </c>
      <c r="L7" s="12">
        <v>0</v>
      </c>
      <c r="M7" s="13" t="e">
        <f t="shared" si="5"/>
        <v>#DIV/0!</v>
      </c>
      <c r="N7" s="14">
        <f t="shared" ref="N7:N61" si="8">B7+D7+F7+H7+J7+L7</f>
        <v>0</v>
      </c>
      <c r="O7" s="15" t="e">
        <f t="shared" si="6"/>
        <v>#DIV/0!</v>
      </c>
    </row>
    <row r="8" s="1" customFormat="1" ht="11.25" spans="1:19">
      <c r="A8" s="11"/>
      <c r="B8" s="16">
        <v>0</v>
      </c>
      <c r="C8" s="13" t="e">
        <f t="shared" si="0"/>
        <v>#DIV/0!</v>
      </c>
      <c r="D8" s="16">
        <v>0</v>
      </c>
      <c r="E8" s="13" t="e">
        <f t="shared" si="1"/>
        <v>#DIV/0!</v>
      </c>
      <c r="F8" s="16">
        <v>0</v>
      </c>
      <c r="G8" s="13" t="e">
        <f t="shared" si="2"/>
        <v>#DIV/0!</v>
      </c>
      <c r="H8" s="16">
        <v>0</v>
      </c>
      <c r="I8" s="13" t="e">
        <f t="shared" si="3"/>
        <v>#DIV/0!</v>
      </c>
      <c r="J8" s="16">
        <v>0</v>
      </c>
      <c r="K8" s="13" t="e">
        <f t="shared" si="4"/>
        <v>#DIV/0!</v>
      </c>
      <c r="L8" s="16">
        <v>0</v>
      </c>
      <c r="M8" s="13" t="e">
        <f t="shared" si="5"/>
        <v>#DIV/0!</v>
      </c>
      <c r="N8" s="14">
        <f t="shared" si="8"/>
        <v>0</v>
      </c>
      <c r="O8" s="15" t="e">
        <f t="shared" si="6"/>
        <v>#DIV/0!</v>
      </c>
      <c r="Q8" s="17"/>
      <c r="R8" s="17"/>
      <c r="S8" s="17"/>
    </row>
    <row r="9" spans="1:19">
      <c r="A9" s="18" t="s">
        <v>8</v>
      </c>
      <c r="B9" s="14">
        <f>SUM(B4:B8)</f>
        <v>0</v>
      </c>
      <c r="C9" s="13" t="e">
        <f t="shared" si="0"/>
        <v>#DIV/0!</v>
      </c>
      <c r="D9" s="14">
        <f>SUM(D4:D8)</f>
        <v>0</v>
      </c>
      <c r="E9" s="13" t="e">
        <f t="shared" si="1"/>
        <v>#DIV/0!</v>
      </c>
      <c r="F9" s="14">
        <f>SUM(F4:F8)</f>
        <v>0</v>
      </c>
      <c r="G9" s="13" t="e">
        <f t="shared" si="2"/>
        <v>#DIV/0!</v>
      </c>
      <c r="H9" s="14">
        <f>SUM(H4:H8)</f>
        <v>0</v>
      </c>
      <c r="I9" s="13" t="e">
        <f t="shared" si="3"/>
        <v>#DIV/0!</v>
      </c>
      <c r="J9" s="14">
        <f>SUM(J4:J8)</f>
        <v>0</v>
      </c>
      <c r="K9" s="13" t="e">
        <f t="shared" si="4"/>
        <v>#DIV/0!</v>
      </c>
      <c r="L9" s="14">
        <f>SUM(L4:L8)</f>
        <v>0</v>
      </c>
      <c r="M9" s="13" t="e">
        <f t="shared" si="5"/>
        <v>#DIV/0!</v>
      </c>
      <c r="N9" s="14">
        <f t="shared" si="8"/>
        <v>0</v>
      </c>
      <c r="O9" s="15" t="e">
        <f t="shared" si="6"/>
        <v>#DIV/0!</v>
      </c>
      <c r="P9" s="19"/>
      <c r="Q9" s="19"/>
    </row>
    <row r="10" spans="1:19">
      <c r="A10" s="18" t="s">
        <v>9</v>
      </c>
      <c r="B10" s="20"/>
      <c r="C10" s="13"/>
      <c r="D10" s="20"/>
      <c r="E10" s="13"/>
      <c r="F10" s="20"/>
      <c r="G10" s="13"/>
      <c r="H10" s="20"/>
      <c r="I10" s="13"/>
      <c r="J10" s="20"/>
      <c r="K10" s="13"/>
      <c r="L10" s="20"/>
      <c r="M10" s="13"/>
      <c r="N10" s="21"/>
      <c r="O10" s="22"/>
    </row>
    <row r="11" spans="1:19">
      <c r="A11" s="11" t="s">
        <v>10</v>
      </c>
      <c r="B11" s="23">
        <v>0</v>
      </c>
      <c r="C11" s="13" t="e">
        <f>B11/$B$9</f>
        <v>#DIV/0!</v>
      </c>
      <c r="D11" s="23">
        <v>0</v>
      </c>
      <c r="E11" s="13" t="e">
        <f>D11/$D$9</f>
        <v>#DIV/0!</v>
      </c>
      <c r="F11" s="23">
        <v>0</v>
      </c>
      <c r="G11" s="13" t="e">
        <f>F11/$F$9</f>
        <v>#DIV/0!</v>
      </c>
      <c r="H11" s="23">
        <v>0</v>
      </c>
      <c r="I11" s="13" t="e">
        <f>H11/$H$9</f>
        <v>#DIV/0!</v>
      </c>
      <c r="J11" s="23">
        <v>0</v>
      </c>
      <c r="K11" s="13" t="e">
        <f>J11/$J$9</f>
        <v>#DIV/0!</v>
      </c>
      <c r="L11" s="23">
        <v>0</v>
      </c>
      <c r="M11" s="13" t="e">
        <f>L11/$L$9</f>
        <v>#DIV/0!</v>
      </c>
      <c r="N11" s="14">
        <f t="shared" si="8"/>
        <v>0</v>
      </c>
      <c r="O11" s="15" t="e">
        <f t="shared" ref="O11:O15" si="9">N11/$N$9</f>
        <v>#DIV/0!</v>
      </c>
    </row>
    <row r="12" spans="1:19">
      <c r="A12" s="11" t="s">
        <v>11</v>
      </c>
      <c r="B12" s="24">
        <v>0</v>
      </c>
      <c r="C12" s="13" t="e">
        <f t="shared" ref="C12" si="10">B12/$B$9</f>
        <v>#DIV/0!</v>
      </c>
      <c r="D12" s="24">
        <v>0</v>
      </c>
      <c r="E12" s="13" t="e">
        <f t="shared" ref="E12" si="11">D12/$D$9</f>
        <v>#DIV/0!</v>
      </c>
      <c r="F12" s="24">
        <v>0</v>
      </c>
      <c r="G12" s="13" t="e">
        <f t="shared" ref="G12" si="12">F12/$F$9</f>
        <v>#DIV/0!</v>
      </c>
      <c r="H12" s="24">
        <v>0</v>
      </c>
      <c r="I12" s="13" t="e">
        <f t="shared" ref="I12" si="13">H12/$H$9</f>
        <v>#DIV/0!</v>
      </c>
      <c r="J12" s="24">
        <v>0</v>
      </c>
      <c r="K12" s="13" t="e">
        <f t="shared" ref="K12" si="14">J12/$J$9</f>
        <v>#DIV/0!</v>
      </c>
      <c r="L12" s="24">
        <v>0</v>
      </c>
      <c r="M12" s="13" t="e">
        <f t="shared" ref="M12" si="15">L12/$L$9</f>
        <v>#DIV/0!</v>
      </c>
      <c r="N12" s="14">
        <f t="shared" si="8"/>
        <v>0</v>
      </c>
      <c r="O12" s="15" t="e">
        <f t="shared" si="9"/>
        <v>#DIV/0!</v>
      </c>
    </row>
    <row r="13" spans="1:19">
      <c r="A13" s="11" t="s">
        <v>12</v>
      </c>
      <c r="B13" s="24">
        <v>0</v>
      </c>
      <c r="C13" s="13" t="e">
        <f t="shared" ref="C13:C15" si="16">B13/$B$9</f>
        <v>#DIV/0!</v>
      </c>
      <c r="D13" s="24">
        <v>0</v>
      </c>
      <c r="E13" s="13" t="e">
        <f t="shared" ref="E13:E15" si="17">D13/$D$9</f>
        <v>#DIV/0!</v>
      </c>
      <c r="F13" s="24">
        <v>0</v>
      </c>
      <c r="G13" s="13" t="e">
        <f t="shared" ref="G13:G15" si="18">F13/$F$9</f>
        <v>#DIV/0!</v>
      </c>
      <c r="H13" s="24">
        <v>0</v>
      </c>
      <c r="I13" s="13" t="e">
        <f t="shared" ref="I13:I15" si="19">H13/$H$9</f>
        <v>#DIV/0!</v>
      </c>
      <c r="J13" s="24">
        <v>0</v>
      </c>
      <c r="K13" s="13" t="e">
        <f t="shared" ref="K13:K15" si="20">J13/$J$9</f>
        <v>#DIV/0!</v>
      </c>
      <c r="L13" s="24">
        <v>0</v>
      </c>
      <c r="M13" s="13" t="e">
        <f t="shared" ref="M13:M15" si="21">L13/$L$9</f>
        <v>#DIV/0!</v>
      </c>
      <c r="N13" s="14">
        <f t="shared" ref="N13" si="22">B13+D13+F13+H13+J13+L13</f>
        <v>0</v>
      </c>
      <c r="O13" s="15" t="e">
        <f t="shared" ref="O13" si="23">N13/$N$9</f>
        <v>#DIV/0!</v>
      </c>
    </row>
    <row r="14" spans="1:19">
      <c r="A14" s="9" t="s">
        <v>13</v>
      </c>
      <c r="B14" s="25">
        <f>SUM(B11:B13)</f>
        <v>0</v>
      </c>
      <c r="C14" s="13" t="e">
        <f t="shared" si="16"/>
        <v>#DIV/0!</v>
      </c>
      <c r="D14" s="25">
        <f>SUM(D11:D13)</f>
        <v>0</v>
      </c>
      <c r="E14" s="13" t="e">
        <f t="shared" si="17"/>
        <v>#DIV/0!</v>
      </c>
      <c r="F14" s="25">
        <f>SUM(F11:F13)</f>
        <v>0</v>
      </c>
      <c r="G14" s="13" t="e">
        <f t="shared" si="18"/>
        <v>#DIV/0!</v>
      </c>
      <c r="H14" s="25">
        <f>SUM(H11:H13)</f>
        <v>0</v>
      </c>
      <c r="I14" s="13" t="e">
        <f t="shared" si="19"/>
        <v>#DIV/0!</v>
      </c>
      <c r="J14" s="25">
        <f>SUM(J11:J13)</f>
        <v>0</v>
      </c>
      <c r="K14" s="13" t="e">
        <f t="shared" si="20"/>
        <v>#DIV/0!</v>
      </c>
      <c r="L14" s="25">
        <f>SUM(L11:L13)</f>
        <v>0</v>
      </c>
      <c r="M14" s="13" t="e">
        <f t="shared" si="21"/>
        <v>#DIV/0!</v>
      </c>
      <c r="N14" s="14">
        <f t="shared" si="8"/>
        <v>0</v>
      </c>
      <c r="O14" s="15" t="e">
        <f t="shared" si="9"/>
        <v>#DIV/0!</v>
      </c>
    </row>
    <row r="15" spans="1:19">
      <c r="A15" s="18" t="s">
        <v>14</v>
      </c>
      <c r="B15" s="26">
        <f>B9-B14</f>
        <v>0</v>
      </c>
      <c r="C15" s="13" t="e">
        <f t="shared" si="16"/>
        <v>#DIV/0!</v>
      </c>
      <c r="D15" s="26">
        <f>D9-D14</f>
        <v>0</v>
      </c>
      <c r="E15" s="13" t="e">
        <f t="shared" si="17"/>
        <v>#DIV/0!</v>
      </c>
      <c r="F15" s="26">
        <f>F9-F14</f>
        <v>0</v>
      </c>
      <c r="G15" s="13" t="e">
        <f t="shared" si="18"/>
        <v>#DIV/0!</v>
      </c>
      <c r="H15" s="26">
        <f>H9-H14</f>
        <v>0</v>
      </c>
      <c r="I15" s="13" t="e">
        <f t="shared" si="19"/>
        <v>#DIV/0!</v>
      </c>
      <c r="J15" s="26">
        <f>J9-J14</f>
        <v>0</v>
      </c>
      <c r="K15" s="13" t="e">
        <f t="shared" si="20"/>
        <v>#DIV/0!</v>
      </c>
      <c r="L15" s="26">
        <f>L9-L14</f>
        <v>0</v>
      </c>
      <c r="M15" s="13" t="e">
        <f t="shared" si="21"/>
        <v>#DIV/0!</v>
      </c>
      <c r="N15" s="14">
        <f t="shared" si="8"/>
        <v>0</v>
      </c>
      <c r="O15" s="15" t="e">
        <f t="shared" si="9"/>
        <v>#DIV/0!</v>
      </c>
    </row>
    <row r="16" spans="1:19">
      <c r="A16" s="9" t="s">
        <v>15</v>
      </c>
      <c r="B16" s="27"/>
      <c r="C16" s="28"/>
      <c r="D16" s="20"/>
      <c r="E16" s="13"/>
      <c r="F16" s="20"/>
      <c r="G16" s="13"/>
      <c r="H16" s="20"/>
      <c r="I16" s="13"/>
      <c r="J16" s="20"/>
      <c r="K16" s="13"/>
      <c r="L16" s="20"/>
      <c r="M16" s="13"/>
      <c r="N16" s="21"/>
      <c r="O16" s="22"/>
      <c r="Q16" s="19"/>
    </row>
    <row r="17" spans="1:15">
      <c r="A17" s="11" t="s">
        <v>16</v>
      </c>
      <c r="B17" s="23">
        <v>0</v>
      </c>
      <c r="C17" s="28" t="e">
        <f>B17/$B$9</f>
        <v>#DIV/0!</v>
      </c>
      <c r="D17" s="23">
        <v>0</v>
      </c>
      <c r="E17" s="13" t="e">
        <f t="shared" ref="E17" si="24">D17/$D$9</f>
        <v>#DIV/0!</v>
      </c>
      <c r="F17" s="23">
        <v>0</v>
      </c>
      <c r="G17" s="13" t="e">
        <f t="shared" ref="G17" si="25">F17/$F$9</f>
        <v>#DIV/0!</v>
      </c>
      <c r="H17" s="23">
        <v>0</v>
      </c>
      <c r="I17" s="13" t="e">
        <f t="shared" ref="I17" si="26">H17/$H$9</f>
        <v>#DIV/0!</v>
      </c>
      <c r="J17" s="23">
        <v>0</v>
      </c>
      <c r="K17" s="13" t="e">
        <f t="shared" ref="K17" si="27">J17/$J$9</f>
        <v>#DIV/0!</v>
      </c>
      <c r="L17" s="23">
        <v>0</v>
      </c>
      <c r="M17" s="13" t="e">
        <f t="shared" ref="M17" si="28">L17/$L$9</f>
        <v>#DIV/0!</v>
      </c>
      <c r="N17" s="14">
        <f t="shared" ref="N17" si="29">B17+D17+F17+H17+J17+L17</f>
        <v>0</v>
      </c>
      <c r="O17" s="15" t="e">
        <f t="shared" ref="O17" si="30">N17/$N$9</f>
        <v>#DIV/0!</v>
      </c>
    </row>
    <row r="18" spans="1:15">
      <c r="A18" s="11" t="s">
        <v>17</v>
      </c>
      <c r="B18" s="24">
        <v>0</v>
      </c>
      <c r="C18" s="13" t="e">
        <f>B18/$B$9</f>
        <v>#DIV/0!</v>
      </c>
      <c r="D18" s="24">
        <v>0</v>
      </c>
      <c r="E18" s="13" t="e">
        <f t="shared" ref="E18:E21" si="31">D18/$D$9</f>
        <v>#DIV/0!</v>
      </c>
      <c r="F18" s="24">
        <v>0</v>
      </c>
      <c r="G18" s="13" t="e">
        <f t="shared" ref="G18:G21" si="32">F18/$F$9</f>
        <v>#DIV/0!</v>
      </c>
      <c r="H18" s="24">
        <v>0</v>
      </c>
      <c r="I18" s="13" t="e">
        <f t="shared" ref="I18:I21" si="33">H18/$H$9</f>
        <v>#DIV/0!</v>
      </c>
      <c r="J18" s="24">
        <v>0</v>
      </c>
      <c r="K18" s="13" t="e">
        <f t="shared" ref="K18:K21" si="34">J18/$J$9</f>
        <v>#DIV/0!</v>
      </c>
      <c r="L18" s="24">
        <v>0</v>
      </c>
      <c r="M18" s="13" t="e">
        <f t="shared" ref="M18:M37" si="35">L18/$L$9</f>
        <v>#DIV/0!</v>
      </c>
      <c r="N18" s="14">
        <f t="shared" si="8"/>
        <v>0</v>
      </c>
      <c r="O18" s="15" t="e">
        <f t="shared" ref="O18:O21" si="36">N18/$N$9</f>
        <v>#DIV/0!</v>
      </c>
    </row>
    <row r="19" spans="1:15">
      <c r="A19" s="11" t="s">
        <v>18</v>
      </c>
      <c r="B19" s="24">
        <v>0</v>
      </c>
      <c r="C19" s="13" t="e">
        <f t="shared" ref="C19" si="37">B19/$B$9</f>
        <v>#DIV/0!</v>
      </c>
      <c r="D19" s="24">
        <v>0</v>
      </c>
      <c r="E19" s="13" t="e">
        <f t="shared" si="31"/>
        <v>#DIV/0!</v>
      </c>
      <c r="F19" s="24">
        <v>0</v>
      </c>
      <c r="G19" s="13" t="e">
        <f t="shared" si="32"/>
        <v>#DIV/0!</v>
      </c>
      <c r="H19" s="24">
        <v>0</v>
      </c>
      <c r="I19" s="13" t="e">
        <f t="shared" si="33"/>
        <v>#DIV/0!</v>
      </c>
      <c r="J19" s="24">
        <v>0</v>
      </c>
      <c r="K19" s="13" t="e">
        <f t="shared" si="34"/>
        <v>#DIV/0!</v>
      </c>
      <c r="L19" s="24">
        <v>0</v>
      </c>
      <c r="M19" s="13" t="e">
        <f t="shared" si="35"/>
        <v>#DIV/0!</v>
      </c>
      <c r="N19" s="14">
        <f t="shared" ref="N19" si="38">B19+D19+F19+H19+J19+L19</f>
        <v>0</v>
      </c>
      <c r="O19" s="15" t="e">
        <f t="shared" si="36"/>
        <v>#DIV/0!</v>
      </c>
    </row>
    <row r="20" spans="1:15">
      <c r="A20" s="11" t="s">
        <v>5</v>
      </c>
      <c r="B20" s="24">
        <v>0</v>
      </c>
      <c r="C20" s="13" t="e">
        <f t="shared" ref="C20" si="39">B20/$B$9</f>
        <v>#DIV/0!</v>
      </c>
      <c r="D20" s="24">
        <v>0</v>
      </c>
      <c r="E20" s="13" t="e">
        <f t="shared" ref="E20" si="40">D20/$D$9</f>
        <v>#DIV/0!</v>
      </c>
      <c r="F20" s="24">
        <v>0</v>
      </c>
      <c r="G20" s="13" t="e">
        <f t="shared" ref="G20" si="41">F20/$F$9</f>
        <v>#DIV/0!</v>
      </c>
      <c r="H20" s="24">
        <v>0</v>
      </c>
      <c r="I20" s="13" t="e">
        <f t="shared" ref="I20" si="42">H20/$H$9</f>
        <v>#DIV/0!</v>
      </c>
      <c r="J20" s="24">
        <v>0</v>
      </c>
      <c r="K20" s="13" t="e">
        <f t="shared" ref="K20" si="43">J20/$J$9</f>
        <v>#DIV/0!</v>
      </c>
      <c r="L20" s="24">
        <v>0</v>
      </c>
      <c r="M20" s="13" t="e">
        <f t="shared" ref="M20" si="44">L20/$L$9</f>
        <v>#DIV/0!</v>
      </c>
      <c r="N20" s="14">
        <f t="shared" si="8"/>
        <v>0</v>
      </c>
      <c r="O20" s="15" t="e">
        <f t="shared" ref="O20" si="45">N20/$N$9</f>
        <v>#DIV/0!</v>
      </c>
    </row>
    <row r="21" spans="1:15">
      <c r="A21" s="11" t="s">
        <v>19</v>
      </c>
      <c r="B21" s="24">
        <v>0</v>
      </c>
      <c r="C21" s="13" t="e">
        <f t="shared" ref="C21:C22" si="46">B21/$B$9</f>
        <v>#DIV/0!</v>
      </c>
      <c r="D21" s="24">
        <v>0</v>
      </c>
      <c r="E21" s="13" t="e">
        <f t="shared" si="31"/>
        <v>#DIV/0!</v>
      </c>
      <c r="F21" s="24">
        <v>0</v>
      </c>
      <c r="G21" s="13" t="e">
        <f t="shared" si="32"/>
        <v>#DIV/0!</v>
      </c>
      <c r="H21" s="24">
        <v>0</v>
      </c>
      <c r="I21" s="13" t="e">
        <f t="shared" si="33"/>
        <v>#DIV/0!</v>
      </c>
      <c r="J21" s="24">
        <v>0</v>
      </c>
      <c r="K21" s="13" t="e">
        <f t="shared" si="34"/>
        <v>#DIV/0!</v>
      </c>
      <c r="L21" s="24">
        <v>0</v>
      </c>
      <c r="M21" s="13" t="e">
        <f t="shared" si="35"/>
        <v>#DIV/0!</v>
      </c>
      <c r="N21" s="14">
        <f t="shared" ref="N21" si="47">B21+D21+F21+H21+J21+L21</f>
        <v>0</v>
      </c>
      <c r="O21" s="15" t="e">
        <f t="shared" si="36"/>
        <v>#DIV/0!</v>
      </c>
    </row>
    <row r="22" spans="1:15">
      <c r="A22" s="11" t="s">
        <v>20</v>
      </c>
      <c r="B22" s="24">
        <v>0</v>
      </c>
      <c r="C22" s="13" t="e">
        <f t="shared" si="46"/>
        <v>#DIV/0!</v>
      </c>
      <c r="D22" s="24">
        <v>0</v>
      </c>
      <c r="E22" s="13" t="e">
        <f t="shared" ref="E22:E24" si="48">D22/$D$9</f>
        <v>#DIV/0!</v>
      </c>
      <c r="F22" s="24">
        <v>0</v>
      </c>
      <c r="G22" s="13" t="e">
        <f t="shared" ref="G22:G24" si="49">F22/$F$9</f>
        <v>#DIV/0!</v>
      </c>
      <c r="H22" s="24">
        <v>0</v>
      </c>
      <c r="I22" s="13" t="e">
        <f t="shared" ref="I22:I24" si="50">H22/$H$9</f>
        <v>#DIV/0!</v>
      </c>
      <c r="J22" s="24">
        <v>0</v>
      </c>
      <c r="K22" s="13" t="e">
        <f t="shared" ref="K22:K24" si="51">J22/$J$9</f>
        <v>#DIV/0!</v>
      </c>
      <c r="L22" s="24">
        <v>0</v>
      </c>
      <c r="M22" s="13" t="e">
        <f t="shared" ref="M22:M24" si="52">L22/$L$9</f>
        <v>#DIV/0!</v>
      </c>
      <c r="N22" s="14">
        <f t="shared" ref="N22:N24" si="53">B22+D22+F22+H22+J22+L22</f>
        <v>0</v>
      </c>
      <c r="O22" s="15" t="e">
        <f t="shared" ref="O22:O24" si="54">N22/$N$9</f>
        <v>#DIV/0!</v>
      </c>
    </row>
    <row r="23" spans="1:15">
      <c r="A23" s="11" t="s">
        <v>21</v>
      </c>
      <c r="B23" s="24">
        <v>0</v>
      </c>
      <c r="C23" s="13" t="e">
        <f t="shared" ref="C23" si="55">B23/$B$9</f>
        <v>#DIV/0!</v>
      </c>
      <c r="D23" s="24">
        <v>0</v>
      </c>
      <c r="E23" s="13" t="e">
        <f t="shared" ref="E23" si="56">D23/$D$9</f>
        <v>#DIV/0!</v>
      </c>
      <c r="F23" s="24">
        <v>0</v>
      </c>
      <c r="G23" s="13" t="e">
        <f t="shared" ref="G23" si="57">F23/$F$9</f>
        <v>#DIV/0!</v>
      </c>
      <c r="H23" s="24">
        <v>0</v>
      </c>
      <c r="I23" s="13" t="e">
        <f t="shared" ref="I23" si="58">H23/$H$9</f>
        <v>#DIV/0!</v>
      </c>
      <c r="J23" s="24">
        <v>0</v>
      </c>
      <c r="K23" s="13" t="e">
        <f t="shared" ref="K23" si="59">J23/$J$9</f>
        <v>#DIV/0!</v>
      </c>
      <c r="L23" s="24">
        <v>0</v>
      </c>
      <c r="M23" s="13" t="e">
        <f t="shared" ref="M23" si="60">L23/$L$9</f>
        <v>#DIV/0!</v>
      </c>
      <c r="N23" s="14">
        <f t="shared" ref="N23" si="61">B23+D23+F23+H23+J23+L23</f>
        <v>0</v>
      </c>
      <c r="O23" s="15" t="e">
        <f t="shared" ref="O23" si="62">N23/$N$9</f>
        <v>#DIV/0!</v>
      </c>
    </row>
    <row r="24" spans="1:15">
      <c r="A24" s="11" t="s">
        <v>22</v>
      </c>
      <c r="B24" s="24">
        <v>0</v>
      </c>
      <c r="C24" s="13" t="e">
        <f t="shared" ref="C24" si="63">B24/$B$9</f>
        <v>#DIV/0!</v>
      </c>
      <c r="D24" s="24">
        <v>0</v>
      </c>
      <c r="E24" s="13" t="e">
        <f t="shared" si="48"/>
        <v>#DIV/0!</v>
      </c>
      <c r="F24" s="24">
        <v>0</v>
      </c>
      <c r="G24" s="13" t="e">
        <f t="shared" si="49"/>
        <v>#DIV/0!</v>
      </c>
      <c r="H24" s="24">
        <v>0</v>
      </c>
      <c r="I24" s="13" t="e">
        <f t="shared" si="50"/>
        <v>#DIV/0!</v>
      </c>
      <c r="J24" s="24">
        <v>0</v>
      </c>
      <c r="K24" s="13" t="e">
        <f t="shared" si="51"/>
        <v>#DIV/0!</v>
      </c>
      <c r="L24" s="24">
        <v>0</v>
      </c>
      <c r="M24" s="13" t="e">
        <f t="shared" si="52"/>
        <v>#DIV/0!</v>
      </c>
      <c r="N24" s="14">
        <f t="shared" si="53"/>
        <v>0</v>
      </c>
      <c r="O24" s="15" t="e">
        <f t="shared" si="54"/>
        <v>#DIV/0!</v>
      </c>
    </row>
    <row r="25" spans="1:15">
      <c r="A25" s="11"/>
      <c r="B25" s="24">
        <v>0</v>
      </c>
      <c r="C25" s="13" t="e">
        <f t="shared" ref="C25" si="64">B25/$B$9</f>
        <v>#DIV/0!</v>
      </c>
      <c r="D25" s="24">
        <v>0</v>
      </c>
      <c r="E25" s="13" t="e">
        <f t="shared" ref="E25" si="65">D25/$D$9</f>
        <v>#DIV/0!</v>
      </c>
      <c r="F25" s="24">
        <v>0</v>
      </c>
      <c r="G25" s="13" t="e">
        <f t="shared" ref="G25" si="66">F25/$F$9</f>
        <v>#DIV/0!</v>
      </c>
      <c r="H25" s="24">
        <v>0</v>
      </c>
      <c r="I25" s="13" t="e">
        <f t="shared" ref="I25" si="67">H25/$H$9</f>
        <v>#DIV/0!</v>
      </c>
      <c r="J25" s="24">
        <v>0</v>
      </c>
      <c r="K25" s="13" t="e">
        <f t="shared" ref="K25" si="68">J25/$J$9</f>
        <v>#DIV/0!</v>
      </c>
      <c r="L25" s="24">
        <v>0</v>
      </c>
      <c r="M25" s="13" t="e">
        <f t="shared" ref="M25" si="69">L25/$L$9</f>
        <v>#DIV/0!</v>
      </c>
      <c r="N25" s="14">
        <f t="shared" si="8"/>
        <v>0</v>
      </c>
      <c r="O25" s="15" t="e">
        <f t="shared" ref="O25" si="70">N25/$N$9</f>
        <v>#DIV/0!</v>
      </c>
    </row>
    <row r="26" spans="1:15">
      <c r="A26" s="9" t="s">
        <v>23</v>
      </c>
      <c r="B26" s="25">
        <f>SUM(B17:B25)</f>
        <v>0</v>
      </c>
      <c r="C26" s="13" t="e">
        <f t="shared" ref="C26" si="71">B26/$B$9</f>
        <v>#DIV/0!</v>
      </c>
      <c r="D26" s="25">
        <f>SUM(D18:D25)</f>
        <v>0</v>
      </c>
      <c r="E26" s="13" t="e">
        <f t="shared" ref="E26" si="72">D26/$D$9</f>
        <v>#DIV/0!</v>
      </c>
      <c r="F26" s="25">
        <f>SUM(F18:F25)</f>
        <v>0</v>
      </c>
      <c r="G26" s="13" t="e">
        <f t="shared" ref="G26" si="73">F26/$F$9</f>
        <v>#DIV/0!</v>
      </c>
      <c r="H26" s="25">
        <f>SUM(H18:H25)</f>
        <v>0</v>
      </c>
      <c r="I26" s="13" t="e">
        <f t="shared" ref="I26" si="74">H26/$H$9</f>
        <v>#DIV/0!</v>
      </c>
      <c r="J26" s="25">
        <f>SUM(J18:J25)</f>
        <v>0</v>
      </c>
      <c r="K26" s="13" t="e">
        <f t="shared" ref="K26" si="75">J26/$J$9</f>
        <v>#DIV/0!</v>
      </c>
      <c r="L26" s="25">
        <f>SUM(L18:L25)</f>
        <v>0</v>
      </c>
      <c r="M26" s="13" t="e">
        <f t="shared" ref="M26" si="76">L26/$L$9</f>
        <v>#DIV/0!</v>
      </c>
      <c r="N26" s="14">
        <f t="shared" si="8"/>
        <v>0</v>
      </c>
      <c r="O26" s="15" t="e">
        <f t="shared" ref="O26" si="77">N26/$N$9</f>
        <v>#DIV/0!</v>
      </c>
    </row>
    <row r="27" spans="1:15">
      <c r="A27" s="9" t="s">
        <v>24</v>
      </c>
      <c r="B27" s="20"/>
      <c r="C27" s="13"/>
      <c r="D27" s="20"/>
      <c r="E27" s="13"/>
      <c r="F27" s="20"/>
      <c r="G27" s="13"/>
      <c r="H27" s="20"/>
      <c r="I27" s="13"/>
      <c r="J27" s="20"/>
      <c r="K27" s="13"/>
      <c r="L27" s="20"/>
      <c r="M27" s="13"/>
      <c r="N27" s="29"/>
      <c r="O27" s="30"/>
    </row>
    <row r="28" spans="1:15">
      <c r="A28" s="11" t="s">
        <v>25</v>
      </c>
      <c r="B28" s="23">
        <v>0</v>
      </c>
      <c r="C28" s="28" t="e">
        <f>B28/$B$9</f>
        <v>#DIV/0!</v>
      </c>
      <c r="D28" s="23">
        <v>0</v>
      </c>
      <c r="E28" s="13" t="e">
        <f t="shared" ref="E28" si="78">D28/$D$9</f>
        <v>#DIV/0!</v>
      </c>
      <c r="F28" s="23">
        <v>0</v>
      </c>
      <c r="G28" s="13" t="e">
        <f t="shared" ref="G28" si="79">F28/$F$9</f>
        <v>#DIV/0!</v>
      </c>
      <c r="H28" s="23">
        <v>0</v>
      </c>
      <c r="I28" s="13" t="e">
        <f t="shared" ref="I28" si="80">H28/$H$9</f>
        <v>#DIV/0!</v>
      </c>
      <c r="J28" s="23">
        <v>0</v>
      </c>
      <c r="K28" s="13" t="e">
        <f t="shared" ref="K28" si="81">J28/$J$9</f>
        <v>#DIV/0!</v>
      </c>
      <c r="L28" s="23">
        <v>0</v>
      </c>
      <c r="M28" s="13" t="e">
        <f t="shared" ref="M28" si="82">L28/$L$9</f>
        <v>#DIV/0!</v>
      </c>
      <c r="N28" s="14">
        <f t="shared" ref="N28" si="83">B28+D28+F28+H28+J28+L28</f>
        <v>0</v>
      </c>
      <c r="O28" s="15" t="e">
        <f t="shared" ref="O28" si="84">N28/$N$9</f>
        <v>#DIV/0!</v>
      </c>
    </row>
    <row r="29" spans="1:15">
      <c r="A29" s="11" t="s">
        <v>26</v>
      </c>
      <c r="B29" s="31">
        <v>0</v>
      </c>
      <c r="C29" s="13" t="e">
        <f t="shared" ref="C29:C35" si="85">B29/$B$9</f>
        <v>#DIV/0!</v>
      </c>
      <c r="D29" s="31">
        <v>0</v>
      </c>
      <c r="E29" s="13" t="e">
        <f t="shared" ref="E29:E35" si="86">D29/$D$9</f>
        <v>#DIV/0!</v>
      </c>
      <c r="F29" s="31">
        <v>0</v>
      </c>
      <c r="G29" s="13" t="e">
        <f t="shared" ref="G29:G35" si="87">F29/$F$9</f>
        <v>#DIV/0!</v>
      </c>
      <c r="H29" s="31">
        <v>0</v>
      </c>
      <c r="I29" s="13" t="e">
        <f t="shared" ref="I29:I36" si="88">H29/$H$9</f>
        <v>#DIV/0!</v>
      </c>
      <c r="J29" s="31">
        <v>0</v>
      </c>
      <c r="K29" s="13" t="e">
        <f t="shared" ref="K29:K36" si="89">J29/$J$9</f>
        <v>#DIV/0!</v>
      </c>
      <c r="L29" s="31">
        <v>0</v>
      </c>
      <c r="M29" s="13" t="e">
        <f t="shared" ref="M29:M36" si="90">L29/$L$9</f>
        <v>#DIV/0!</v>
      </c>
      <c r="N29" s="14">
        <f t="shared" si="8"/>
        <v>0</v>
      </c>
      <c r="O29" s="15" t="e">
        <f t="shared" ref="O29:O35" si="91">N29/$N$9</f>
        <v>#DIV/0!</v>
      </c>
    </row>
    <row r="30" spans="1:15">
      <c r="A30" s="11" t="s">
        <v>27</v>
      </c>
      <c r="B30" s="32">
        <v>0</v>
      </c>
      <c r="C30" s="28" t="e">
        <f t="shared" si="85"/>
        <v>#DIV/0!</v>
      </c>
      <c r="D30" s="32">
        <v>0</v>
      </c>
      <c r="E30" s="13" t="e">
        <f t="shared" si="86"/>
        <v>#DIV/0!</v>
      </c>
      <c r="F30" s="32">
        <v>0</v>
      </c>
      <c r="G30" s="13" t="e">
        <f t="shared" si="87"/>
        <v>#DIV/0!</v>
      </c>
      <c r="H30" s="32">
        <v>0</v>
      </c>
      <c r="I30" s="13" t="e">
        <f t="shared" si="88"/>
        <v>#DIV/0!</v>
      </c>
      <c r="J30" s="32">
        <v>0</v>
      </c>
      <c r="K30" s="13" t="e">
        <f t="shared" si="89"/>
        <v>#DIV/0!</v>
      </c>
      <c r="L30" s="32">
        <v>0</v>
      </c>
      <c r="M30" s="13" t="e">
        <f t="shared" si="90"/>
        <v>#DIV/0!</v>
      </c>
      <c r="N30" s="14">
        <f t="shared" si="8"/>
        <v>0</v>
      </c>
      <c r="O30" s="15" t="e">
        <f t="shared" si="91"/>
        <v>#DIV/0!</v>
      </c>
    </row>
    <row r="31" spans="1:15">
      <c r="A31" s="11" t="s">
        <v>28</v>
      </c>
      <c r="B31" s="32">
        <v>0</v>
      </c>
      <c r="C31" s="13" t="e">
        <f t="shared" ref="C31:C33" si="92">B31/$B$9</f>
        <v>#DIV/0!</v>
      </c>
      <c r="D31" s="32">
        <v>0</v>
      </c>
      <c r="E31" s="13" t="e">
        <f t="shared" ref="E31:E33" si="93">D31/$D$9</f>
        <v>#DIV/0!</v>
      </c>
      <c r="F31" s="32">
        <v>0</v>
      </c>
      <c r="G31" s="13" t="e">
        <f t="shared" ref="G31:G33" si="94">F31/$F$9</f>
        <v>#DIV/0!</v>
      </c>
      <c r="H31" s="32">
        <v>0</v>
      </c>
      <c r="I31" s="13" t="e">
        <f t="shared" si="88"/>
        <v>#DIV/0!</v>
      </c>
      <c r="J31" s="32">
        <v>0</v>
      </c>
      <c r="K31" s="13" t="e">
        <f t="shared" ref="K31:K33" si="95">J31/$J$9</f>
        <v>#DIV/0!</v>
      </c>
      <c r="L31" s="32">
        <v>0</v>
      </c>
      <c r="M31" s="13" t="e">
        <f t="shared" ref="M31:M33" si="96">L31/$L$9</f>
        <v>#DIV/0!</v>
      </c>
      <c r="N31" s="14">
        <f t="shared" si="8"/>
        <v>0</v>
      </c>
      <c r="O31" s="15" t="e">
        <f t="shared" ref="O31:O33" si="97">N31/$N$9</f>
        <v>#DIV/0!</v>
      </c>
    </row>
    <row r="32" spans="1:15">
      <c r="A32" s="11" t="s">
        <v>29</v>
      </c>
      <c r="B32" s="16">
        <v>0</v>
      </c>
      <c r="C32" s="13" t="e">
        <f t="shared" si="92"/>
        <v>#DIV/0!</v>
      </c>
      <c r="D32" s="16">
        <v>0</v>
      </c>
      <c r="E32" s="13" t="e">
        <f t="shared" si="93"/>
        <v>#DIV/0!</v>
      </c>
      <c r="F32" s="16">
        <v>0</v>
      </c>
      <c r="G32" s="13" t="e">
        <f t="shared" si="94"/>
        <v>#DIV/0!</v>
      </c>
      <c r="H32" s="16">
        <v>0</v>
      </c>
      <c r="I32" s="13" t="e">
        <f t="shared" ref="I32:I33" si="98">H32/$H$9</f>
        <v>#DIV/0!</v>
      </c>
      <c r="J32" s="16">
        <v>0</v>
      </c>
      <c r="K32" s="13" t="e">
        <f t="shared" si="95"/>
        <v>#DIV/0!</v>
      </c>
      <c r="L32" s="16">
        <v>0</v>
      </c>
      <c r="M32" s="13" t="e">
        <f t="shared" si="96"/>
        <v>#DIV/0!</v>
      </c>
      <c r="N32" s="14">
        <f t="shared" si="8"/>
        <v>0</v>
      </c>
      <c r="O32" s="15" t="e">
        <f t="shared" si="97"/>
        <v>#DIV/0!</v>
      </c>
    </row>
    <row r="33" spans="1:15">
      <c r="A33" s="11" t="s">
        <v>30</v>
      </c>
      <c r="B33" s="16">
        <v>0</v>
      </c>
      <c r="C33" s="13" t="e">
        <f t="shared" si="92"/>
        <v>#DIV/0!</v>
      </c>
      <c r="D33" s="16">
        <v>0</v>
      </c>
      <c r="E33" s="13" t="e">
        <f t="shared" si="93"/>
        <v>#DIV/0!</v>
      </c>
      <c r="F33" s="16">
        <v>0</v>
      </c>
      <c r="G33" s="13" t="e">
        <f t="shared" si="94"/>
        <v>#DIV/0!</v>
      </c>
      <c r="H33" s="16">
        <v>0</v>
      </c>
      <c r="I33" s="13" t="e">
        <f t="shared" si="98"/>
        <v>#DIV/0!</v>
      </c>
      <c r="J33" s="16">
        <v>0</v>
      </c>
      <c r="K33" s="13" t="e">
        <f t="shared" si="95"/>
        <v>#DIV/0!</v>
      </c>
      <c r="L33" s="16">
        <v>0</v>
      </c>
      <c r="M33" s="13" t="e">
        <f t="shared" si="96"/>
        <v>#DIV/0!</v>
      </c>
      <c r="N33" s="14">
        <f t="shared" ref="N33" si="99">B33+D33+F33+H33+J33+L33</f>
        <v>0</v>
      </c>
      <c r="O33" s="15" t="e">
        <f t="shared" si="97"/>
        <v>#DIV/0!</v>
      </c>
    </row>
    <row r="34" spans="1:15">
      <c r="A34" s="11" t="s">
        <v>31</v>
      </c>
      <c r="B34" s="16">
        <v>0</v>
      </c>
      <c r="C34" s="13" t="e">
        <f t="shared" ref="C34" si="100">B34/$B$9</f>
        <v>#DIV/0!</v>
      </c>
      <c r="D34" s="16">
        <v>0</v>
      </c>
      <c r="E34" s="13" t="e">
        <f t="shared" ref="E34" si="101">D34/$D$9</f>
        <v>#DIV/0!</v>
      </c>
      <c r="F34" s="16">
        <v>0</v>
      </c>
      <c r="G34" s="13" t="e">
        <f t="shared" ref="G34" si="102">F34/$F$9</f>
        <v>#DIV/0!</v>
      </c>
      <c r="H34" s="16">
        <v>0</v>
      </c>
      <c r="I34" s="13" t="e">
        <f t="shared" ref="I34" si="103">H34/$H$9</f>
        <v>#DIV/0!</v>
      </c>
      <c r="J34" s="16">
        <v>0</v>
      </c>
      <c r="K34" s="13" t="e">
        <f t="shared" ref="K34" si="104">J34/$J$9</f>
        <v>#DIV/0!</v>
      </c>
      <c r="L34" s="16">
        <v>0</v>
      </c>
      <c r="M34" s="13" t="e">
        <f t="shared" ref="M34" si="105">L34/$L$9</f>
        <v>#DIV/0!</v>
      </c>
      <c r="N34" s="14">
        <f t="shared" si="8"/>
        <v>0</v>
      </c>
      <c r="O34" s="15" t="e">
        <f t="shared" si="91"/>
        <v>#DIV/0!</v>
      </c>
    </row>
    <row r="35" spans="1:15">
      <c r="A35" s="9" t="s">
        <v>32</v>
      </c>
      <c r="B35" s="25">
        <f>SUM(B29:B34)</f>
        <v>0</v>
      </c>
      <c r="C35" s="13" t="e">
        <f t="shared" si="85"/>
        <v>#DIV/0!</v>
      </c>
      <c r="D35" s="25">
        <f>SUM(D29:D34)</f>
        <v>0</v>
      </c>
      <c r="E35" s="13" t="e">
        <f t="shared" si="86"/>
        <v>#DIV/0!</v>
      </c>
      <c r="F35" s="25">
        <f>SUM(F29:F34)</f>
        <v>0</v>
      </c>
      <c r="G35" s="13" t="e">
        <f t="shared" si="87"/>
        <v>#DIV/0!</v>
      </c>
      <c r="H35" s="25">
        <f>SUM(H29:H34)</f>
        <v>0</v>
      </c>
      <c r="I35" s="13" t="e">
        <f t="shared" si="88"/>
        <v>#DIV/0!</v>
      </c>
      <c r="J35" s="25">
        <f>SUM(J29:J34)</f>
        <v>0</v>
      </c>
      <c r="K35" s="13" t="e">
        <f t="shared" si="89"/>
        <v>#DIV/0!</v>
      </c>
      <c r="L35" s="25">
        <f>SUM(L29:L34)</f>
        <v>0</v>
      </c>
      <c r="M35" s="13" t="e">
        <f t="shared" si="90"/>
        <v>#DIV/0!</v>
      </c>
      <c r="N35" s="14">
        <f t="shared" si="8"/>
        <v>0</v>
      </c>
      <c r="O35" s="15" t="e">
        <f t="shared" si="91"/>
        <v>#DIV/0!</v>
      </c>
    </row>
    <row r="36" spans="1:15">
      <c r="A36" s="9" t="s">
        <v>33</v>
      </c>
      <c r="B36" s="33">
        <f>B26+B35</f>
        <v>0</v>
      </c>
      <c r="C36" s="13" t="e">
        <f t="shared" ref="C36:C37" si="106">B36/$B$9</f>
        <v>#DIV/0!</v>
      </c>
      <c r="D36" s="33">
        <f>D26+D35</f>
        <v>0</v>
      </c>
      <c r="E36" s="13" t="e">
        <f t="shared" ref="E36:E37" si="107">D36/$D$9</f>
        <v>#DIV/0!</v>
      </c>
      <c r="F36" s="33">
        <f>F26+F35</f>
        <v>0</v>
      </c>
      <c r="G36" s="13" t="e">
        <f t="shared" ref="G36:G37" si="108">F36/$F$9</f>
        <v>#DIV/0!</v>
      </c>
      <c r="H36" s="33">
        <f>H26+H35</f>
        <v>0</v>
      </c>
      <c r="I36" s="13" t="e">
        <f t="shared" si="88"/>
        <v>#DIV/0!</v>
      </c>
      <c r="J36" s="33">
        <f>J26+J35</f>
        <v>0</v>
      </c>
      <c r="K36" s="13" t="e">
        <f t="shared" si="89"/>
        <v>#DIV/0!</v>
      </c>
      <c r="L36" s="33">
        <f>L26+L35</f>
        <v>0</v>
      </c>
      <c r="M36" s="13" t="e">
        <f t="shared" si="90"/>
        <v>#DIV/0!</v>
      </c>
      <c r="N36" s="14">
        <f t="shared" si="8"/>
        <v>0</v>
      </c>
      <c r="O36" s="15" t="e">
        <f t="shared" ref="O36:O37" si="109">N36/$N$9</f>
        <v>#DIV/0!</v>
      </c>
    </row>
    <row r="37" spans="1:15">
      <c r="A37" s="34" t="s">
        <v>34</v>
      </c>
      <c r="B37" s="33">
        <f>B15-B36</f>
        <v>0</v>
      </c>
      <c r="C37" s="13" t="e">
        <f t="shared" si="106"/>
        <v>#DIV/0!</v>
      </c>
      <c r="D37" s="33">
        <f>D15-D36</f>
        <v>0</v>
      </c>
      <c r="E37" s="13" t="e">
        <f t="shared" si="107"/>
        <v>#DIV/0!</v>
      </c>
      <c r="F37" s="33">
        <f>F15-F36</f>
        <v>0</v>
      </c>
      <c r="G37" s="13" t="e">
        <f t="shared" si="108"/>
        <v>#DIV/0!</v>
      </c>
      <c r="H37" s="33">
        <f>H15-H36</f>
        <v>0</v>
      </c>
      <c r="I37" s="13" t="e">
        <f t="shared" ref="I37" si="110">H37/$H$9</f>
        <v>#DIV/0!</v>
      </c>
      <c r="J37" s="33">
        <f>J15-J36</f>
        <v>0</v>
      </c>
      <c r="K37" s="13" t="e">
        <f t="shared" ref="K37" si="111">J37/$J$9</f>
        <v>#DIV/0!</v>
      </c>
      <c r="L37" s="33">
        <f>L15-L36</f>
        <v>0</v>
      </c>
      <c r="M37" s="13" t="e">
        <f t="shared" si="35"/>
        <v>#DIV/0!</v>
      </c>
      <c r="N37" s="14">
        <f t="shared" si="8"/>
        <v>0</v>
      </c>
      <c r="O37" s="15" t="e">
        <f t="shared" si="109"/>
        <v>#DIV/0!</v>
      </c>
    </row>
    <row r="38" spans="1:15">
      <c r="A38" s="35" t="s">
        <v>35</v>
      </c>
      <c r="B38" s="35"/>
      <c r="C38" s="13"/>
      <c r="D38" s="35"/>
      <c r="E38" s="13"/>
      <c r="F38" s="35"/>
      <c r="G38" s="13"/>
      <c r="H38" s="35"/>
      <c r="I38" s="13"/>
      <c r="J38" s="35"/>
      <c r="K38" s="13"/>
      <c r="L38" s="35"/>
      <c r="M38" s="13"/>
      <c r="N38" s="29"/>
      <c r="O38" s="30"/>
    </row>
    <row r="39" spans="1:15">
      <c r="A39" s="11" t="s">
        <v>36</v>
      </c>
      <c r="B39" s="16">
        <v>0</v>
      </c>
      <c r="C39" s="13" t="e">
        <f t="shared" ref="C39:C61" si="112">B39/$B$9</f>
        <v>#DIV/0!</v>
      </c>
      <c r="D39" s="16">
        <v>0</v>
      </c>
      <c r="E39" s="13" t="e">
        <f t="shared" ref="E39:E76" si="113">D39/$D$9</f>
        <v>#DIV/0!</v>
      </c>
      <c r="F39" s="16">
        <v>0</v>
      </c>
      <c r="G39" s="13" t="e">
        <f t="shared" ref="G39:G61" si="114">F39/$F$9</f>
        <v>#DIV/0!</v>
      </c>
      <c r="H39" s="16">
        <v>0</v>
      </c>
      <c r="I39" s="13" t="e">
        <f>H39/$H$9</f>
        <v>#DIV/0!</v>
      </c>
      <c r="J39" s="16">
        <v>0</v>
      </c>
      <c r="K39" s="13" t="e">
        <f t="shared" ref="K39:K76" si="115">J39/$J$9</f>
        <v>#DIV/0!</v>
      </c>
      <c r="L39" s="16">
        <v>0</v>
      </c>
      <c r="M39" s="13" t="e">
        <f t="shared" ref="M39:M51" si="116">L39/$L$9</f>
        <v>#DIV/0!</v>
      </c>
      <c r="N39" s="14">
        <f t="shared" si="8"/>
        <v>0</v>
      </c>
      <c r="O39" s="15" t="e">
        <f t="shared" ref="O39:O51" si="117">N39/$N$9</f>
        <v>#DIV/0!</v>
      </c>
    </row>
    <row r="40" spans="1:15">
      <c r="A40" s="11" t="s">
        <v>37</v>
      </c>
      <c r="B40" s="16">
        <v>0</v>
      </c>
      <c r="C40" s="13" t="e">
        <f t="shared" si="112"/>
        <v>#DIV/0!</v>
      </c>
      <c r="D40" s="16">
        <v>0</v>
      </c>
      <c r="E40" s="13" t="e">
        <f t="shared" si="113"/>
        <v>#DIV/0!</v>
      </c>
      <c r="F40" s="16">
        <v>0</v>
      </c>
      <c r="G40" s="13" t="e">
        <f t="shared" si="114"/>
        <v>#DIV/0!</v>
      </c>
      <c r="H40" s="16">
        <v>0</v>
      </c>
      <c r="I40" s="13" t="e">
        <f t="shared" ref="I40:I76" si="118">H40/$H$9</f>
        <v>#DIV/0!</v>
      </c>
      <c r="J40" s="16">
        <v>0</v>
      </c>
      <c r="K40" s="13" t="e">
        <f t="shared" si="115"/>
        <v>#DIV/0!</v>
      </c>
      <c r="L40" s="16">
        <v>0</v>
      </c>
      <c r="M40" s="13" t="e">
        <f t="shared" si="116"/>
        <v>#DIV/0!</v>
      </c>
      <c r="N40" s="14">
        <f t="shared" si="8"/>
        <v>0</v>
      </c>
      <c r="O40" s="15" t="e">
        <f t="shared" si="117"/>
        <v>#DIV/0!</v>
      </c>
    </row>
    <row r="41" spans="1:15">
      <c r="A41" s="11" t="s">
        <v>38</v>
      </c>
      <c r="B41" s="16">
        <v>0</v>
      </c>
      <c r="C41" s="13" t="e">
        <f t="shared" si="112"/>
        <v>#DIV/0!</v>
      </c>
      <c r="D41" s="16">
        <v>0</v>
      </c>
      <c r="E41" s="13" t="e">
        <f t="shared" si="113"/>
        <v>#DIV/0!</v>
      </c>
      <c r="F41" s="16">
        <v>0</v>
      </c>
      <c r="G41" s="13" t="e">
        <f t="shared" si="114"/>
        <v>#DIV/0!</v>
      </c>
      <c r="H41" s="16">
        <v>0</v>
      </c>
      <c r="I41" s="13" t="e">
        <f t="shared" si="118"/>
        <v>#DIV/0!</v>
      </c>
      <c r="J41" s="16">
        <v>0</v>
      </c>
      <c r="K41" s="13" t="e">
        <f t="shared" si="115"/>
        <v>#DIV/0!</v>
      </c>
      <c r="L41" s="16">
        <v>0</v>
      </c>
      <c r="M41" s="13" t="e">
        <f t="shared" si="116"/>
        <v>#DIV/0!</v>
      </c>
      <c r="N41" s="14">
        <f t="shared" si="8"/>
        <v>0</v>
      </c>
      <c r="O41" s="15" t="e">
        <f t="shared" si="117"/>
        <v>#DIV/0!</v>
      </c>
    </row>
    <row r="42" spans="1:15">
      <c r="A42" s="11" t="s">
        <v>39</v>
      </c>
      <c r="B42" s="16">
        <v>0</v>
      </c>
      <c r="C42" s="13" t="e">
        <f t="shared" ref="C42" si="119">B42/$B$9</f>
        <v>#DIV/0!</v>
      </c>
      <c r="D42" s="16">
        <v>0</v>
      </c>
      <c r="E42" s="13" t="e">
        <f t="shared" ref="E42" si="120">D42/$D$9</f>
        <v>#DIV/0!</v>
      </c>
      <c r="F42" s="16">
        <v>0</v>
      </c>
      <c r="G42" s="13" t="e">
        <f t="shared" ref="G42" si="121">F42/$F$9</f>
        <v>#DIV/0!</v>
      </c>
      <c r="H42" s="16">
        <v>0</v>
      </c>
      <c r="I42" s="13" t="e">
        <f t="shared" ref="I42" si="122">H42/$H$9</f>
        <v>#DIV/0!</v>
      </c>
      <c r="J42" s="16">
        <v>0</v>
      </c>
      <c r="K42" s="13" t="e">
        <f t="shared" ref="K42" si="123">J42/$J$9</f>
        <v>#DIV/0!</v>
      </c>
      <c r="L42" s="16">
        <v>0</v>
      </c>
      <c r="M42" s="13" t="e">
        <f t="shared" ref="M42" si="124">L42/$L$9</f>
        <v>#DIV/0!</v>
      </c>
      <c r="N42" s="14">
        <f t="shared" si="8"/>
        <v>0</v>
      </c>
      <c r="O42" s="15" t="e">
        <f t="shared" si="117"/>
        <v>#DIV/0!</v>
      </c>
    </row>
    <row r="43" spans="1:15">
      <c r="A43" s="11" t="s">
        <v>40</v>
      </c>
      <c r="B43" s="16">
        <v>0</v>
      </c>
      <c r="C43" s="13" t="e">
        <f t="shared" si="112"/>
        <v>#DIV/0!</v>
      </c>
      <c r="D43" s="16">
        <v>0</v>
      </c>
      <c r="E43" s="13" t="e">
        <f t="shared" si="113"/>
        <v>#DIV/0!</v>
      </c>
      <c r="F43" s="16">
        <v>0</v>
      </c>
      <c r="G43" s="13" t="e">
        <f t="shared" si="114"/>
        <v>#DIV/0!</v>
      </c>
      <c r="H43" s="16">
        <v>0</v>
      </c>
      <c r="I43" s="13" t="e">
        <f t="shared" si="118"/>
        <v>#DIV/0!</v>
      </c>
      <c r="J43" s="16">
        <v>0</v>
      </c>
      <c r="K43" s="13" t="e">
        <f t="shared" si="115"/>
        <v>#DIV/0!</v>
      </c>
      <c r="L43" s="16">
        <v>0</v>
      </c>
      <c r="M43" s="13" t="e">
        <f t="shared" si="116"/>
        <v>#DIV/0!</v>
      </c>
      <c r="N43" s="14">
        <f t="shared" si="8"/>
        <v>0</v>
      </c>
      <c r="O43" s="15" t="e">
        <f t="shared" si="117"/>
        <v>#DIV/0!</v>
      </c>
    </row>
    <row r="44" spans="1:15">
      <c r="A44" s="11" t="s">
        <v>41</v>
      </c>
      <c r="B44" s="16">
        <v>0</v>
      </c>
      <c r="C44" s="13" t="e">
        <f t="shared" ref="C44" si="125">B44/$B$9</f>
        <v>#DIV/0!</v>
      </c>
      <c r="D44" s="16">
        <v>0</v>
      </c>
      <c r="E44" s="13" t="e">
        <f t="shared" ref="E44" si="126">D44/$D$9</f>
        <v>#DIV/0!</v>
      </c>
      <c r="F44" s="16">
        <v>0</v>
      </c>
      <c r="G44" s="13" t="e">
        <f t="shared" ref="G44" si="127">F44/$F$9</f>
        <v>#DIV/0!</v>
      </c>
      <c r="H44" s="16">
        <v>0</v>
      </c>
      <c r="I44" s="13" t="e">
        <f t="shared" ref="I44" si="128">H44/$H$9</f>
        <v>#DIV/0!</v>
      </c>
      <c r="J44" s="16">
        <v>0</v>
      </c>
      <c r="K44" s="13" t="e">
        <f t="shared" ref="K44" si="129">J44/$J$9</f>
        <v>#DIV/0!</v>
      </c>
      <c r="L44" s="16">
        <v>0</v>
      </c>
      <c r="M44" s="13" t="e">
        <f t="shared" ref="M44" si="130">L44/$L$9</f>
        <v>#DIV/0!</v>
      </c>
      <c r="N44" s="14">
        <f t="shared" si="8"/>
        <v>0</v>
      </c>
      <c r="O44" s="15" t="e">
        <f t="shared" si="117"/>
        <v>#DIV/0!</v>
      </c>
    </row>
    <row r="45" spans="1:15">
      <c r="A45" s="11" t="s">
        <v>42</v>
      </c>
      <c r="B45" s="16">
        <v>0</v>
      </c>
      <c r="C45" s="13" t="e">
        <f t="shared" si="112"/>
        <v>#DIV/0!</v>
      </c>
      <c r="D45" s="16">
        <v>0</v>
      </c>
      <c r="E45" s="13" t="e">
        <f t="shared" si="113"/>
        <v>#DIV/0!</v>
      </c>
      <c r="F45" s="16">
        <v>0</v>
      </c>
      <c r="G45" s="13" t="e">
        <f t="shared" si="114"/>
        <v>#DIV/0!</v>
      </c>
      <c r="H45" s="16">
        <v>0</v>
      </c>
      <c r="I45" s="13" t="e">
        <f t="shared" si="118"/>
        <v>#DIV/0!</v>
      </c>
      <c r="J45" s="16">
        <v>0</v>
      </c>
      <c r="K45" s="13" t="e">
        <f t="shared" si="115"/>
        <v>#DIV/0!</v>
      </c>
      <c r="L45" s="16">
        <v>0</v>
      </c>
      <c r="M45" s="13" t="e">
        <f t="shared" si="116"/>
        <v>#DIV/0!</v>
      </c>
      <c r="N45" s="14">
        <f t="shared" si="8"/>
        <v>0</v>
      </c>
      <c r="O45" s="15" t="e">
        <f t="shared" si="117"/>
        <v>#DIV/0!</v>
      </c>
    </row>
    <row r="46" spans="1:15">
      <c r="A46" s="11" t="s">
        <v>43</v>
      </c>
      <c r="B46" s="16">
        <v>0</v>
      </c>
      <c r="C46" s="13" t="e">
        <f t="shared" si="112"/>
        <v>#DIV/0!</v>
      </c>
      <c r="D46" s="16">
        <v>0</v>
      </c>
      <c r="E46" s="13" t="e">
        <f t="shared" si="113"/>
        <v>#DIV/0!</v>
      </c>
      <c r="F46" s="16">
        <v>0</v>
      </c>
      <c r="G46" s="13" t="e">
        <f t="shared" si="114"/>
        <v>#DIV/0!</v>
      </c>
      <c r="H46" s="16">
        <v>0</v>
      </c>
      <c r="I46" s="13" t="e">
        <f t="shared" si="118"/>
        <v>#DIV/0!</v>
      </c>
      <c r="J46" s="16">
        <v>0</v>
      </c>
      <c r="K46" s="13" t="e">
        <f t="shared" si="115"/>
        <v>#DIV/0!</v>
      </c>
      <c r="L46" s="16">
        <v>0</v>
      </c>
      <c r="M46" s="13" t="e">
        <f t="shared" si="116"/>
        <v>#DIV/0!</v>
      </c>
      <c r="N46" s="14">
        <f t="shared" si="8"/>
        <v>0</v>
      </c>
      <c r="O46" s="15" t="e">
        <f t="shared" si="117"/>
        <v>#DIV/0!</v>
      </c>
    </row>
    <row r="47" spans="1:15">
      <c r="A47" s="11" t="s">
        <v>44</v>
      </c>
      <c r="B47" s="16">
        <v>0</v>
      </c>
      <c r="C47" s="13" t="e">
        <f t="shared" si="112"/>
        <v>#DIV/0!</v>
      </c>
      <c r="D47" s="16">
        <v>0</v>
      </c>
      <c r="E47" s="13" t="e">
        <f t="shared" si="113"/>
        <v>#DIV/0!</v>
      </c>
      <c r="F47" s="16">
        <v>0</v>
      </c>
      <c r="G47" s="13" t="e">
        <f t="shared" si="114"/>
        <v>#DIV/0!</v>
      </c>
      <c r="H47" s="16">
        <v>0</v>
      </c>
      <c r="I47" s="13" t="e">
        <f t="shared" si="118"/>
        <v>#DIV/0!</v>
      </c>
      <c r="J47" s="16">
        <v>0</v>
      </c>
      <c r="K47" s="13" t="e">
        <f t="shared" si="115"/>
        <v>#DIV/0!</v>
      </c>
      <c r="L47" s="16">
        <v>0</v>
      </c>
      <c r="M47" s="13" t="e">
        <f t="shared" si="116"/>
        <v>#DIV/0!</v>
      </c>
      <c r="N47" s="14">
        <f t="shared" si="8"/>
        <v>0</v>
      </c>
      <c r="O47" s="15" t="e">
        <f t="shared" si="117"/>
        <v>#DIV/0!</v>
      </c>
    </row>
    <row r="48" spans="1:15">
      <c r="A48" s="11" t="s">
        <v>45</v>
      </c>
      <c r="B48" s="16">
        <v>0</v>
      </c>
      <c r="C48" s="13" t="e">
        <f t="shared" si="112"/>
        <v>#DIV/0!</v>
      </c>
      <c r="D48" s="16">
        <v>0</v>
      </c>
      <c r="E48" s="13" t="e">
        <f t="shared" si="113"/>
        <v>#DIV/0!</v>
      </c>
      <c r="F48" s="16">
        <v>0</v>
      </c>
      <c r="G48" s="13" t="e">
        <f t="shared" si="114"/>
        <v>#DIV/0!</v>
      </c>
      <c r="H48" s="16">
        <v>0</v>
      </c>
      <c r="I48" s="13" t="e">
        <f t="shared" si="118"/>
        <v>#DIV/0!</v>
      </c>
      <c r="J48" s="16">
        <v>0</v>
      </c>
      <c r="K48" s="13" t="e">
        <f t="shared" si="115"/>
        <v>#DIV/0!</v>
      </c>
      <c r="L48" s="16">
        <v>0</v>
      </c>
      <c r="M48" s="13" t="e">
        <f t="shared" si="116"/>
        <v>#DIV/0!</v>
      </c>
      <c r="N48" s="14">
        <f t="shared" si="8"/>
        <v>0</v>
      </c>
      <c r="O48" s="15" t="e">
        <f t="shared" si="117"/>
        <v>#DIV/0!</v>
      </c>
    </row>
    <row r="49" spans="1:16">
      <c r="A49" s="11" t="s">
        <v>46</v>
      </c>
      <c r="B49" s="16">
        <v>0</v>
      </c>
      <c r="C49" s="13" t="e">
        <f t="shared" ref="C49" si="131">B49/$B$9</f>
        <v>#DIV/0!</v>
      </c>
      <c r="D49" s="16">
        <v>0</v>
      </c>
      <c r="E49" s="13" t="e">
        <f t="shared" ref="E49" si="132">D49/$D$9</f>
        <v>#DIV/0!</v>
      </c>
      <c r="F49" s="16">
        <v>0</v>
      </c>
      <c r="G49" s="13" t="e">
        <f t="shared" ref="G49" si="133">F49/$F$9</f>
        <v>#DIV/0!</v>
      </c>
      <c r="H49" s="16">
        <v>0</v>
      </c>
      <c r="I49" s="13" t="e">
        <f t="shared" ref="I49" si="134">H49/$H$9</f>
        <v>#DIV/0!</v>
      </c>
      <c r="J49" s="16">
        <v>0</v>
      </c>
      <c r="K49" s="13" t="e">
        <f t="shared" si="115"/>
        <v>#DIV/0!</v>
      </c>
      <c r="L49" s="16">
        <v>0</v>
      </c>
      <c r="M49" s="13" t="e">
        <f t="shared" ref="M49" si="135">L49/$L$9</f>
        <v>#DIV/0!</v>
      </c>
      <c r="N49" s="14">
        <f t="shared" si="8"/>
        <v>0</v>
      </c>
      <c r="O49" s="15" t="e">
        <f t="shared" ref="O49" si="136">N49/$N$9</f>
        <v>#DIV/0!</v>
      </c>
    </row>
    <row r="50" spans="1:16">
      <c r="A50" s="11" t="s">
        <v>47</v>
      </c>
      <c r="B50" s="16">
        <v>0</v>
      </c>
      <c r="C50" s="13" t="e">
        <f t="shared" si="112"/>
        <v>#DIV/0!</v>
      </c>
      <c r="D50" s="16">
        <v>0</v>
      </c>
      <c r="E50" s="13" t="e">
        <f t="shared" si="113"/>
        <v>#DIV/0!</v>
      </c>
      <c r="F50" s="16">
        <v>0</v>
      </c>
      <c r="G50" s="13" t="e">
        <f t="shared" si="114"/>
        <v>#DIV/0!</v>
      </c>
      <c r="H50" s="16">
        <v>0</v>
      </c>
      <c r="I50" s="13" t="e">
        <f t="shared" si="118"/>
        <v>#DIV/0!</v>
      </c>
      <c r="J50" s="16">
        <v>0</v>
      </c>
      <c r="K50" s="13" t="e">
        <f t="shared" si="115"/>
        <v>#DIV/0!</v>
      </c>
      <c r="L50" s="16">
        <v>0</v>
      </c>
      <c r="M50" s="13" t="e">
        <f t="shared" si="116"/>
        <v>#DIV/0!</v>
      </c>
      <c r="N50" s="14">
        <f t="shared" si="8"/>
        <v>0</v>
      </c>
      <c r="O50" s="15" t="e">
        <f t="shared" si="117"/>
        <v>#DIV/0!</v>
      </c>
    </row>
    <row r="51" spans="1:16">
      <c r="A51" s="11" t="s">
        <v>48</v>
      </c>
      <c r="B51" s="16">
        <v>0</v>
      </c>
      <c r="C51" s="13" t="e">
        <f t="shared" si="112"/>
        <v>#DIV/0!</v>
      </c>
      <c r="D51" s="16">
        <v>0</v>
      </c>
      <c r="E51" s="13" t="e">
        <f t="shared" si="113"/>
        <v>#DIV/0!</v>
      </c>
      <c r="F51" s="16">
        <v>0</v>
      </c>
      <c r="G51" s="13" t="e">
        <f t="shared" si="114"/>
        <v>#DIV/0!</v>
      </c>
      <c r="H51" s="16">
        <v>0</v>
      </c>
      <c r="I51" s="13" t="e">
        <f t="shared" si="118"/>
        <v>#DIV/0!</v>
      </c>
      <c r="J51" s="16">
        <v>0</v>
      </c>
      <c r="K51" s="13" t="e">
        <f t="shared" si="115"/>
        <v>#DIV/0!</v>
      </c>
      <c r="L51" s="16">
        <v>0</v>
      </c>
      <c r="M51" s="13" t="e">
        <f t="shared" si="116"/>
        <v>#DIV/0!</v>
      </c>
      <c r="N51" s="14">
        <f t="shared" si="8"/>
        <v>0</v>
      </c>
      <c r="O51" s="15" t="e">
        <f t="shared" si="117"/>
        <v>#DIV/0!</v>
      </c>
    </row>
    <row r="52" spans="1:16">
      <c r="A52" s="11" t="s">
        <v>49</v>
      </c>
      <c r="B52" s="16">
        <v>0</v>
      </c>
      <c r="C52" s="13" t="e">
        <f t="shared" si="112"/>
        <v>#DIV/0!</v>
      </c>
      <c r="D52" s="16">
        <v>0</v>
      </c>
      <c r="E52" s="13" t="e">
        <f t="shared" si="113"/>
        <v>#DIV/0!</v>
      </c>
      <c r="F52" s="16">
        <v>0</v>
      </c>
      <c r="G52" s="13" t="e">
        <f t="shared" si="114"/>
        <v>#DIV/0!</v>
      </c>
      <c r="H52" s="16">
        <v>0</v>
      </c>
      <c r="I52" s="13" t="e">
        <f t="shared" si="118"/>
        <v>#DIV/0!</v>
      </c>
      <c r="J52" s="16">
        <v>0</v>
      </c>
      <c r="K52" s="13" t="e">
        <f t="shared" si="115"/>
        <v>#DIV/0!</v>
      </c>
      <c r="L52" s="16">
        <v>0</v>
      </c>
      <c r="M52" s="13" t="e">
        <f t="shared" ref="M52:M61" si="137">L52/$L$9</f>
        <v>#DIV/0!</v>
      </c>
      <c r="N52" s="14">
        <f t="shared" si="8"/>
        <v>0</v>
      </c>
      <c r="O52" s="15" t="e">
        <f t="shared" ref="O52:O61" si="138">N52/$N$9</f>
        <v>#DIV/0!</v>
      </c>
    </row>
    <row r="53" spans="1:16">
      <c r="A53" s="11" t="s">
        <v>50</v>
      </c>
      <c r="B53" s="16">
        <v>0</v>
      </c>
      <c r="C53" s="13" t="e">
        <f t="shared" si="112"/>
        <v>#DIV/0!</v>
      </c>
      <c r="D53" s="16">
        <v>0</v>
      </c>
      <c r="E53" s="13" t="e">
        <f t="shared" si="113"/>
        <v>#DIV/0!</v>
      </c>
      <c r="F53" s="16">
        <v>0</v>
      </c>
      <c r="G53" s="13" t="e">
        <f t="shared" si="114"/>
        <v>#DIV/0!</v>
      </c>
      <c r="H53" s="16">
        <v>0</v>
      </c>
      <c r="I53" s="13" t="e">
        <f t="shared" si="118"/>
        <v>#DIV/0!</v>
      </c>
      <c r="J53" s="16">
        <v>0</v>
      </c>
      <c r="K53" s="13" t="e">
        <f t="shared" si="115"/>
        <v>#DIV/0!</v>
      </c>
      <c r="L53" s="16">
        <v>0</v>
      </c>
      <c r="M53" s="13" t="e">
        <f t="shared" si="137"/>
        <v>#DIV/0!</v>
      </c>
      <c r="N53" s="14">
        <f t="shared" si="8"/>
        <v>0</v>
      </c>
      <c r="O53" s="15" t="e">
        <f t="shared" si="138"/>
        <v>#DIV/0!</v>
      </c>
    </row>
    <row r="54" spans="1:16">
      <c r="A54" s="11" t="s">
        <v>51</v>
      </c>
      <c r="B54" s="16">
        <v>0</v>
      </c>
      <c r="C54" s="13" t="e">
        <f t="shared" si="112"/>
        <v>#DIV/0!</v>
      </c>
      <c r="D54" s="16">
        <v>0</v>
      </c>
      <c r="E54" s="13" t="e">
        <f t="shared" si="113"/>
        <v>#DIV/0!</v>
      </c>
      <c r="F54" s="16">
        <v>0</v>
      </c>
      <c r="G54" s="13" t="e">
        <f t="shared" si="114"/>
        <v>#DIV/0!</v>
      </c>
      <c r="H54" s="16">
        <v>0</v>
      </c>
      <c r="I54" s="13" t="e">
        <f t="shared" si="118"/>
        <v>#DIV/0!</v>
      </c>
      <c r="J54" s="16">
        <v>0</v>
      </c>
      <c r="K54" s="13" t="e">
        <f t="shared" si="115"/>
        <v>#DIV/0!</v>
      </c>
      <c r="L54" s="16">
        <v>0</v>
      </c>
      <c r="M54" s="13" t="e">
        <f t="shared" si="137"/>
        <v>#DIV/0!</v>
      </c>
      <c r="N54" s="14">
        <f t="shared" si="8"/>
        <v>0</v>
      </c>
      <c r="O54" s="15" t="e">
        <f t="shared" si="138"/>
        <v>#DIV/0!</v>
      </c>
    </row>
    <row r="55" spans="1:16">
      <c r="A55" s="11" t="s">
        <v>52</v>
      </c>
      <c r="B55" s="16">
        <v>0</v>
      </c>
      <c r="C55" s="13" t="e">
        <f t="shared" si="112"/>
        <v>#DIV/0!</v>
      </c>
      <c r="D55" s="16">
        <v>0</v>
      </c>
      <c r="E55" s="13" t="e">
        <f t="shared" si="113"/>
        <v>#DIV/0!</v>
      </c>
      <c r="F55" s="16">
        <v>0</v>
      </c>
      <c r="G55" s="13" t="e">
        <f t="shared" si="114"/>
        <v>#DIV/0!</v>
      </c>
      <c r="H55" s="16">
        <v>0</v>
      </c>
      <c r="I55" s="13" t="e">
        <f t="shared" si="118"/>
        <v>#DIV/0!</v>
      </c>
      <c r="J55" s="16">
        <v>0</v>
      </c>
      <c r="K55" s="13" t="e">
        <f t="shared" si="115"/>
        <v>#DIV/0!</v>
      </c>
      <c r="L55" s="16">
        <v>0</v>
      </c>
      <c r="M55" s="13" t="e">
        <f t="shared" si="137"/>
        <v>#DIV/0!</v>
      </c>
      <c r="N55" s="14">
        <f t="shared" si="8"/>
        <v>0</v>
      </c>
      <c r="O55" s="15" t="e">
        <f t="shared" si="138"/>
        <v>#DIV/0!</v>
      </c>
    </row>
    <row r="56" spans="1:16">
      <c r="A56" s="11" t="s">
        <v>53</v>
      </c>
      <c r="B56" s="16">
        <v>0</v>
      </c>
      <c r="C56" s="13" t="e">
        <f t="shared" si="112"/>
        <v>#DIV/0!</v>
      </c>
      <c r="D56" s="16">
        <v>0</v>
      </c>
      <c r="E56" s="13" t="e">
        <f t="shared" si="113"/>
        <v>#DIV/0!</v>
      </c>
      <c r="F56" s="16">
        <v>0</v>
      </c>
      <c r="G56" s="13" t="e">
        <f t="shared" si="114"/>
        <v>#DIV/0!</v>
      </c>
      <c r="H56" s="16">
        <v>0</v>
      </c>
      <c r="I56" s="13" t="e">
        <f t="shared" si="118"/>
        <v>#DIV/0!</v>
      </c>
      <c r="J56" s="16">
        <v>0</v>
      </c>
      <c r="K56" s="13" t="e">
        <f t="shared" si="115"/>
        <v>#DIV/0!</v>
      </c>
      <c r="L56" s="16">
        <v>0</v>
      </c>
      <c r="M56" s="13" t="e">
        <f t="shared" si="137"/>
        <v>#DIV/0!</v>
      </c>
      <c r="N56" s="14">
        <f t="shared" si="8"/>
        <v>0</v>
      </c>
      <c r="O56" s="15" t="e">
        <f t="shared" si="138"/>
        <v>#DIV/0!</v>
      </c>
    </row>
    <row r="57" spans="1:16">
      <c r="A57" s="11" t="s">
        <v>54</v>
      </c>
      <c r="B57" s="16">
        <v>0</v>
      </c>
      <c r="C57" s="13" t="e">
        <f t="shared" si="112"/>
        <v>#DIV/0!</v>
      </c>
      <c r="D57" s="16">
        <v>0</v>
      </c>
      <c r="E57" s="13" t="e">
        <f t="shared" si="113"/>
        <v>#DIV/0!</v>
      </c>
      <c r="F57" s="16">
        <v>0</v>
      </c>
      <c r="G57" s="13" t="e">
        <f t="shared" si="114"/>
        <v>#DIV/0!</v>
      </c>
      <c r="H57" s="16">
        <v>0</v>
      </c>
      <c r="I57" s="13" t="e">
        <f t="shared" si="118"/>
        <v>#DIV/0!</v>
      </c>
      <c r="J57" s="16">
        <v>0</v>
      </c>
      <c r="K57" s="13" t="e">
        <f t="shared" si="115"/>
        <v>#DIV/0!</v>
      </c>
      <c r="L57" s="16">
        <v>0</v>
      </c>
      <c r="M57" s="13" t="e">
        <f t="shared" si="137"/>
        <v>#DIV/0!</v>
      </c>
      <c r="N57" s="14">
        <f t="shared" si="8"/>
        <v>0</v>
      </c>
      <c r="O57" s="15" t="e">
        <f t="shared" si="138"/>
        <v>#DIV/0!</v>
      </c>
    </row>
    <row r="58" spans="1:16">
      <c r="A58" s="11" t="s">
        <v>55</v>
      </c>
      <c r="B58" s="16">
        <v>0</v>
      </c>
      <c r="C58" s="13" t="e">
        <f t="shared" si="112"/>
        <v>#DIV/0!</v>
      </c>
      <c r="D58" s="16">
        <v>0</v>
      </c>
      <c r="E58" s="13" t="e">
        <f t="shared" si="113"/>
        <v>#DIV/0!</v>
      </c>
      <c r="F58" s="16">
        <v>0</v>
      </c>
      <c r="G58" s="13" t="e">
        <f t="shared" si="114"/>
        <v>#DIV/0!</v>
      </c>
      <c r="H58" s="16">
        <v>0</v>
      </c>
      <c r="I58" s="13" t="e">
        <f t="shared" si="118"/>
        <v>#DIV/0!</v>
      </c>
      <c r="J58" s="16">
        <v>0</v>
      </c>
      <c r="K58" s="13" t="e">
        <f t="shared" si="115"/>
        <v>#DIV/0!</v>
      </c>
      <c r="L58" s="16">
        <v>0</v>
      </c>
      <c r="M58" s="13" t="e">
        <f t="shared" ref="M58:M60" si="139">L58/$L$9</f>
        <v>#DIV/0!</v>
      </c>
      <c r="N58" s="14">
        <f t="shared" si="8"/>
        <v>0</v>
      </c>
      <c r="O58" s="15" t="e">
        <f t="shared" ref="O58:O60" si="140">N58/$N$9</f>
        <v>#DIV/0!</v>
      </c>
    </row>
    <row r="59" spans="1:16">
      <c r="A59" s="11" t="s">
        <v>56</v>
      </c>
      <c r="B59" s="16">
        <v>0</v>
      </c>
      <c r="C59" s="13" t="e">
        <f t="shared" si="112"/>
        <v>#DIV/0!</v>
      </c>
      <c r="D59" s="16">
        <v>0</v>
      </c>
      <c r="E59" s="13" t="e">
        <f t="shared" si="113"/>
        <v>#DIV/0!</v>
      </c>
      <c r="F59" s="16">
        <v>0</v>
      </c>
      <c r="G59" s="13" t="e">
        <f t="shared" si="114"/>
        <v>#DIV/0!</v>
      </c>
      <c r="H59" s="16">
        <v>0</v>
      </c>
      <c r="I59" s="13" t="e">
        <f t="shared" si="118"/>
        <v>#DIV/0!</v>
      </c>
      <c r="J59" s="16">
        <v>0</v>
      </c>
      <c r="K59" s="13" t="e">
        <f t="shared" si="115"/>
        <v>#DIV/0!</v>
      </c>
      <c r="L59" s="16">
        <v>0</v>
      </c>
      <c r="M59" s="13" t="e">
        <f t="shared" si="139"/>
        <v>#DIV/0!</v>
      </c>
      <c r="N59" s="14">
        <f t="shared" si="8"/>
        <v>0</v>
      </c>
      <c r="O59" s="15" t="e">
        <f t="shared" si="140"/>
        <v>#DIV/0!</v>
      </c>
    </row>
    <row r="60" spans="1:16">
      <c r="A60" s="36"/>
      <c r="B60" s="16">
        <v>0</v>
      </c>
      <c r="C60" s="13" t="e">
        <f t="shared" si="112"/>
        <v>#DIV/0!</v>
      </c>
      <c r="D60" s="16">
        <v>0</v>
      </c>
      <c r="E60" s="13" t="e">
        <f t="shared" si="113"/>
        <v>#DIV/0!</v>
      </c>
      <c r="F60" s="16">
        <v>0</v>
      </c>
      <c r="G60" s="13" t="e">
        <f t="shared" si="114"/>
        <v>#DIV/0!</v>
      </c>
      <c r="H60" s="16">
        <v>0</v>
      </c>
      <c r="I60" s="13" t="e">
        <f t="shared" si="118"/>
        <v>#DIV/0!</v>
      </c>
      <c r="J60" s="16">
        <v>0</v>
      </c>
      <c r="K60" s="13" t="e">
        <f t="shared" si="115"/>
        <v>#DIV/0!</v>
      </c>
      <c r="L60" s="16">
        <v>0</v>
      </c>
      <c r="M60" s="13" t="e">
        <f t="shared" si="139"/>
        <v>#DIV/0!</v>
      </c>
      <c r="N60" s="14">
        <f t="shared" si="8"/>
        <v>0</v>
      </c>
      <c r="O60" s="15" t="e">
        <f t="shared" si="140"/>
        <v>#DIV/0!</v>
      </c>
    </row>
    <row r="61" spans="1:16">
      <c r="A61" s="18" t="s">
        <v>57</v>
      </c>
      <c r="B61" s="25">
        <f>SUM(B39:B60)</f>
        <v>0</v>
      </c>
      <c r="C61" s="13" t="e">
        <f t="shared" si="112"/>
        <v>#DIV/0!</v>
      </c>
      <c r="D61" s="25">
        <f>SUM(D26:D60)</f>
        <v>0</v>
      </c>
      <c r="E61" s="13" t="e">
        <f t="shared" si="113"/>
        <v>#DIV/0!</v>
      </c>
      <c r="F61" s="25">
        <f>SUM(F26:F60)</f>
        <v>0</v>
      </c>
      <c r="G61" s="13" t="e">
        <f t="shared" si="114"/>
        <v>#DIV/0!</v>
      </c>
      <c r="H61" s="25">
        <f>SUM(H38:H60)</f>
        <v>0</v>
      </c>
      <c r="I61" s="13" t="e">
        <f t="shared" si="118"/>
        <v>#DIV/0!</v>
      </c>
      <c r="J61" s="25">
        <f>SUM(J39:J60)</f>
        <v>0</v>
      </c>
      <c r="K61" s="13" t="e">
        <f t="shared" si="115"/>
        <v>#DIV/0!</v>
      </c>
      <c r="L61" s="25">
        <f>SUM(L26:L60)</f>
        <v>0</v>
      </c>
      <c r="M61" s="13" t="e">
        <f t="shared" si="137"/>
        <v>#DIV/0!</v>
      </c>
      <c r="N61" s="14">
        <f t="shared" si="8"/>
        <v>0</v>
      </c>
      <c r="O61" s="15" t="e">
        <f t="shared" si="138"/>
        <v>#DIV/0!</v>
      </c>
      <c r="P61" s="19"/>
    </row>
    <row r="62" spans="1:16">
      <c r="A62" s="37" t="s">
        <v>58</v>
      </c>
      <c r="B62" s="35"/>
      <c r="C62" s="13"/>
      <c r="D62" s="35"/>
      <c r="E62" s="13"/>
      <c r="F62" s="35"/>
      <c r="G62" s="13"/>
      <c r="H62" s="35"/>
      <c r="I62" s="13"/>
      <c r="J62" s="35"/>
      <c r="K62" s="13"/>
      <c r="L62" s="35"/>
      <c r="M62" s="13"/>
      <c r="N62" s="29"/>
      <c r="O62" s="30"/>
    </row>
    <row r="63" spans="1:16">
      <c r="A63" s="11" t="s">
        <v>45</v>
      </c>
      <c r="B63" s="16">
        <v>0</v>
      </c>
      <c r="C63" s="13" t="e">
        <f t="shared" ref="C63:C70" si="141">B63/$B$9</f>
        <v>#DIV/0!</v>
      </c>
      <c r="D63" s="16">
        <v>0</v>
      </c>
      <c r="E63" s="13" t="e">
        <f t="shared" ref="E63:E70" si="142">D63/$D$9</f>
        <v>#DIV/0!</v>
      </c>
      <c r="F63" s="16">
        <v>0</v>
      </c>
      <c r="G63" s="13" t="e">
        <f t="shared" ref="G63:G70" si="143">F63/$F$9</f>
        <v>#DIV/0!</v>
      </c>
      <c r="H63" s="16">
        <v>0</v>
      </c>
      <c r="I63" s="13" t="e">
        <f t="shared" ref="I63:I70" si="144">H63/$H$9</f>
        <v>#DIV/0!</v>
      </c>
      <c r="J63" s="16">
        <v>0</v>
      </c>
      <c r="K63" s="13" t="e">
        <f t="shared" ref="K63:K70" si="145">J63/$J$9</f>
        <v>#DIV/0!</v>
      </c>
      <c r="L63" s="16">
        <v>0</v>
      </c>
      <c r="M63" s="13" t="e">
        <f t="shared" ref="M63:M70" si="146">L63/$L$9</f>
        <v>#DIV/0!</v>
      </c>
      <c r="N63" s="14">
        <f t="shared" ref="N63:N70" si="147">B63+D63+F63+H63+J63+L63</f>
        <v>0</v>
      </c>
      <c r="O63" s="15" t="e">
        <f t="shared" ref="O63:O70" si="148">N63/$N$9</f>
        <v>#DIV/0!</v>
      </c>
    </row>
    <row r="64" spans="1:16">
      <c r="A64" s="11" t="s">
        <v>19</v>
      </c>
      <c r="B64" s="16">
        <v>0</v>
      </c>
      <c r="C64" s="13" t="e">
        <f t="shared" si="141"/>
        <v>#DIV/0!</v>
      </c>
      <c r="D64" s="16">
        <v>0</v>
      </c>
      <c r="E64" s="13" t="e">
        <f t="shared" si="142"/>
        <v>#DIV/0!</v>
      </c>
      <c r="F64" s="16">
        <v>0</v>
      </c>
      <c r="G64" s="13" t="e">
        <f t="shared" si="143"/>
        <v>#DIV/0!</v>
      </c>
      <c r="H64" s="16">
        <v>0</v>
      </c>
      <c r="I64" s="13" t="e">
        <f t="shared" si="144"/>
        <v>#DIV/0!</v>
      </c>
      <c r="J64" s="16">
        <v>0</v>
      </c>
      <c r="K64" s="13" t="e">
        <f t="shared" si="145"/>
        <v>#DIV/0!</v>
      </c>
      <c r="L64" s="16">
        <v>0</v>
      </c>
      <c r="M64" s="13" t="e">
        <f t="shared" si="146"/>
        <v>#DIV/0!</v>
      </c>
      <c r="N64" s="14">
        <f t="shared" si="147"/>
        <v>0</v>
      </c>
      <c r="O64" s="15" t="e">
        <f t="shared" si="148"/>
        <v>#DIV/0!</v>
      </c>
    </row>
    <row r="65" spans="1:15">
      <c r="A65" s="11" t="s">
        <v>59</v>
      </c>
      <c r="B65" s="16">
        <v>0</v>
      </c>
      <c r="C65" s="13" t="e">
        <f t="shared" si="141"/>
        <v>#DIV/0!</v>
      </c>
      <c r="D65" s="16">
        <v>0</v>
      </c>
      <c r="E65" s="13" t="e">
        <f t="shared" si="142"/>
        <v>#DIV/0!</v>
      </c>
      <c r="F65" s="16">
        <v>0</v>
      </c>
      <c r="G65" s="13" t="e">
        <f t="shared" si="143"/>
        <v>#DIV/0!</v>
      </c>
      <c r="H65" s="16">
        <v>0</v>
      </c>
      <c r="I65" s="13" t="e">
        <f t="shared" si="144"/>
        <v>#DIV/0!</v>
      </c>
      <c r="J65" s="16">
        <v>0</v>
      </c>
      <c r="K65" s="13" t="e">
        <f t="shared" si="145"/>
        <v>#DIV/0!</v>
      </c>
      <c r="L65" s="16">
        <v>0</v>
      </c>
      <c r="M65" s="13" t="e">
        <f t="shared" si="146"/>
        <v>#DIV/0!</v>
      </c>
      <c r="N65" s="14">
        <f t="shared" si="147"/>
        <v>0</v>
      </c>
      <c r="O65" s="15" t="e">
        <f t="shared" si="148"/>
        <v>#DIV/0!</v>
      </c>
    </row>
    <row r="66" spans="1:15">
      <c r="A66" s="11" t="s">
        <v>60</v>
      </c>
      <c r="B66" s="16">
        <v>0</v>
      </c>
      <c r="C66" s="13" t="e">
        <f t="shared" si="141"/>
        <v>#DIV/0!</v>
      </c>
      <c r="D66" s="16">
        <v>0</v>
      </c>
      <c r="E66" s="13" t="e">
        <f t="shared" si="142"/>
        <v>#DIV/0!</v>
      </c>
      <c r="F66" s="16">
        <v>0</v>
      </c>
      <c r="G66" s="13" t="e">
        <f t="shared" si="143"/>
        <v>#DIV/0!</v>
      </c>
      <c r="H66" s="16">
        <v>0</v>
      </c>
      <c r="I66" s="13" t="e">
        <f t="shared" si="144"/>
        <v>#DIV/0!</v>
      </c>
      <c r="J66" s="16">
        <v>0</v>
      </c>
      <c r="K66" s="13" t="e">
        <f t="shared" si="145"/>
        <v>#DIV/0!</v>
      </c>
      <c r="L66" s="16">
        <v>0</v>
      </c>
      <c r="M66" s="13" t="e">
        <f t="shared" si="146"/>
        <v>#DIV/0!</v>
      </c>
      <c r="N66" s="14">
        <f t="shared" si="147"/>
        <v>0</v>
      </c>
      <c r="O66" s="15" t="e">
        <f t="shared" si="148"/>
        <v>#DIV/0!</v>
      </c>
    </row>
    <row r="67" spans="1:15">
      <c r="A67" s="11" t="s">
        <v>61</v>
      </c>
      <c r="B67" s="16">
        <v>0</v>
      </c>
      <c r="C67" s="13" t="e">
        <f t="shared" si="141"/>
        <v>#DIV/0!</v>
      </c>
      <c r="D67" s="16">
        <v>0</v>
      </c>
      <c r="E67" s="13" t="e">
        <f t="shared" si="142"/>
        <v>#DIV/0!</v>
      </c>
      <c r="F67" s="16">
        <v>0</v>
      </c>
      <c r="G67" s="13" t="e">
        <f t="shared" si="143"/>
        <v>#DIV/0!</v>
      </c>
      <c r="H67" s="16">
        <v>0</v>
      </c>
      <c r="I67" s="13" t="e">
        <f t="shared" si="144"/>
        <v>#DIV/0!</v>
      </c>
      <c r="J67" s="16">
        <v>0</v>
      </c>
      <c r="K67" s="13" t="e">
        <f t="shared" si="145"/>
        <v>#DIV/0!</v>
      </c>
      <c r="L67" s="16">
        <v>0</v>
      </c>
      <c r="M67" s="13" t="e">
        <f t="shared" si="146"/>
        <v>#DIV/0!</v>
      </c>
      <c r="N67" s="14">
        <f t="shared" si="147"/>
        <v>0</v>
      </c>
      <c r="O67" s="15" t="e">
        <f t="shared" si="148"/>
        <v>#DIV/0!</v>
      </c>
    </row>
    <row r="68" spans="1:15">
      <c r="A68" s="11" t="s">
        <v>62</v>
      </c>
      <c r="B68" s="16">
        <v>0</v>
      </c>
      <c r="C68" s="13" t="e">
        <f t="shared" si="141"/>
        <v>#DIV/0!</v>
      </c>
      <c r="D68" s="16">
        <v>0</v>
      </c>
      <c r="E68" s="13" t="e">
        <f t="shared" si="142"/>
        <v>#DIV/0!</v>
      </c>
      <c r="F68" s="16">
        <v>0</v>
      </c>
      <c r="G68" s="13" t="e">
        <f t="shared" si="143"/>
        <v>#DIV/0!</v>
      </c>
      <c r="H68" s="16">
        <v>0</v>
      </c>
      <c r="I68" s="13" t="e">
        <f t="shared" si="144"/>
        <v>#DIV/0!</v>
      </c>
      <c r="J68" s="16">
        <v>0</v>
      </c>
      <c r="K68" s="13" t="e">
        <f t="shared" si="145"/>
        <v>#DIV/0!</v>
      </c>
      <c r="L68" s="16">
        <v>0</v>
      </c>
      <c r="M68" s="13" t="e">
        <f t="shared" si="146"/>
        <v>#DIV/0!</v>
      </c>
      <c r="N68" s="14">
        <f t="shared" si="147"/>
        <v>0</v>
      </c>
      <c r="O68" s="15" t="e">
        <f t="shared" si="148"/>
        <v>#DIV/0!</v>
      </c>
    </row>
    <row r="69" spans="1:15">
      <c r="A69" s="38" t="s">
        <v>63</v>
      </c>
      <c r="B69" s="16">
        <v>0</v>
      </c>
      <c r="C69" s="13" t="e">
        <f t="shared" si="141"/>
        <v>#DIV/0!</v>
      </c>
      <c r="D69" s="16">
        <v>0</v>
      </c>
      <c r="E69" s="13" t="e">
        <f t="shared" si="142"/>
        <v>#DIV/0!</v>
      </c>
      <c r="F69" s="16">
        <v>0</v>
      </c>
      <c r="G69" s="13" t="e">
        <f t="shared" si="143"/>
        <v>#DIV/0!</v>
      </c>
      <c r="H69" s="16">
        <v>0</v>
      </c>
      <c r="I69" s="13" t="e">
        <f t="shared" si="144"/>
        <v>#DIV/0!</v>
      </c>
      <c r="J69" s="16">
        <v>0</v>
      </c>
      <c r="K69" s="13" t="e">
        <f t="shared" si="145"/>
        <v>#DIV/0!</v>
      </c>
      <c r="L69" s="16">
        <v>0</v>
      </c>
      <c r="M69" s="13" t="e">
        <f t="shared" si="146"/>
        <v>#DIV/0!</v>
      </c>
      <c r="N69" s="14">
        <f t="shared" si="147"/>
        <v>0</v>
      </c>
      <c r="O69" s="15" t="e">
        <f t="shared" si="148"/>
        <v>#DIV/0!</v>
      </c>
    </row>
    <row r="70" spans="1:15">
      <c r="A70" s="9" t="s">
        <v>64</v>
      </c>
      <c r="B70" s="25">
        <f>SUM(B63:B69)</f>
        <v>0</v>
      </c>
      <c r="C70" s="13" t="e">
        <f t="shared" si="141"/>
        <v>#DIV/0!</v>
      </c>
      <c r="D70" s="25">
        <f>SUM(D63:D69)</f>
        <v>0</v>
      </c>
      <c r="E70" s="13" t="e">
        <f t="shared" si="142"/>
        <v>#DIV/0!</v>
      </c>
      <c r="F70" s="25">
        <f>SUM(F63:F69)</f>
        <v>0</v>
      </c>
      <c r="G70" s="13" t="e">
        <f t="shared" si="143"/>
        <v>#DIV/0!</v>
      </c>
      <c r="H70" s="25">
        <f>SUM(H63:H69)</f>
        <v>0</v>
      </c>
      <c r="I70" s="13" t="e">
        <f t="shared" si="144"/>
        <v>#DIV/0!</v>
      </c>
      <c r="J70" s="25">
        <f>SUM(J63:J69)</f>
        <v>0</v>
      </c>
      <c r="K70" s="13" t="e">
        <f t="shared" si="145"/>
        <v>#DIV/0!</v>
      </c>
      <c r="L70" s="25">
        <f>SUM(L63:L69)</f>
        <v>0</v>
      </c>
      <c r="M70" s="13" t="e">
        <f t="shared" si="146"/>
        <v>#DIV/0!</v>
      </c>
      <c r="N70" s="14">
        <f t="shared" si="147"/>
        <v>0</v>
      </c>
      <c r="O70" s="15" t="e">
        <f t="shared" si="148"/>
        <v>#DIV/0!</v>
      </c>
    </row>
    <row r="71" spans="1:15">
      <c r="A71" s="35" t="s">
        <v>65</v>
      </c>
      <c r="B71" s="35"/>
      <c r="C71" s="13"/>
      <c r="D71" s="35"/>
      <c r="E71" s="13"/>
      <c r="F71" s="35"/>
      <c r="G71" s="13"/>
      <c r="H71" s="35"/>
      <c r="I71" s="13"/>
      <c r="J71" s="35"/>
      <c r="K71" s="13"/>
      <c r="L71" s="35"/>
      <c r="M71" s="13"/>
      <c r="N71" s="29"/>
      <c r="O71" s="30"/>
    </row>
    <row r="72" spans="1:15">
      <c r="A72" s="39" t="s">
        <v>66</v>
      </c>
      <c r="B72" s="31">
        <v>0</v>
      </c>
      <c r="C72" s="13" t="e">
        <f t="shared" ref="C72:C75" si="149">B72/$B$9</f>
        <v>#DIV/0!</v>
      </c>
      <c r="D72" s="31"/>
      <c r="E72" s="13" t="e">
        <f t="shared" ref="E72:E75" si="150">D72/$D$9</f>
        <v>#DIV/0!</v>
      </c>
      <c r="F72" s="31"/>
      <c r="G72" s="13" t="e">
        <f t="shared" ref="G72:G75" si="151">F72/$F$9</f>
        <v>#DIV/0!</v>
      </c>
      <c r="H72" s="23"/>
      <c r="I72" s="13" t="e">
        <f t="shared" ref="I72:I75" si="152">H72/$H$9</f>
        <v>#DIV/0!</v>
      </c>
      <c r="J72" s="23"/>
      <c r="K72" s="13" t="e">
        <f t="shared" ref="K72:K75" si="153">J72/$J$9</f>
        <v>#DIV/0!</v>
      </c>
      <c r="L72" s="23"/>
      <c r="M72" s="13" t="e">
        <f t="shared" ref="M72:M75" si="154">L72/$L$9</f>
        <v>#DIV/0!</v>
      </c>
      <c r="N72" s="14">
        <f t="shared" ref="N72:N77" si="155">B72+D72+F72+H72+J72+L72</f>
        <v>0</v>
      </c>
      <c r="O72" s="15" t="e">
        <f t="shared" ref="O72:O75" si="156">N72/$N$9</f>
        <v>#DIV/0!</v>
      </c>
    </row>
    <row r="73" spans="1:15">
      <c r="A73" s="40" t="s">
        <v>67</v>
      </c>
      <c r="B73" s="16">
        <v>0</v>
      </c>
      <c r="C73" s="13" t="e">
        <f t="shared" ref="C73" si="157">B73/$B$9</f>
        <v>#DIV/0!</v>
      </c>
      <c r="D73" s="16"/>
      <c r="E73" s="13" t="e">
        <f t="shared" ref="E73" si="158">D73/$D$9</f>
        <v>#DIV/0!</v>
      </c>
      <c r="F73" s="16"/>
      <c r="G73" s="13" t="e">
        <f t="shared" ref="G73" si="159">F73/$F$9</f>
        <v>#DIV/0!</v>
      </c>
      <c r="H73" s="41">
        <v>0</v>
      </c>
      <c r="I73" s="13" t="e">
        <f t="shared" ref="I73" si="160">H73/$H$9</f>
        <v>#DIV/0!</v>
      </c>
      <c r="J73" s="41"/>
      <c r="K73" s="13" t="e">
        <f t="shared" ref="K73" si="161">J73/$J$9</f>
        <v>#DIV/0!</v>
      </c>
      <c r="L73" s="41"/>
      <c r="M73" s="13" t="e">
        <f t="shared" ref="M73" si="162">L73/$L$9</f>
        <v>#DIV/0!</v>
      </c>
      <c r="N73" s="14">
        <f t="shared" si="155"/>
        <v>0</v>
      </c>
      <c r="O73" s="15" t="e">
        <f t="shared" ref="O73" si="163">N73/$N$9</f>
        <v>#DIV/0!</v>
      </c>
    </row>
    <row r="74" spans="1:15">
      <c r="A74" s="42" t="s">
        <v>68</v>
      </c>
      <c r="B74" s="43">
        <v>0</v>
      </c>
      <c r="C74" s="13" t="e">
        <f t="shared" si="149"/>
        <v>#DIV/0!</v>
      </c>
      <c r="D74" s="43"/>
      <c r="E74" s="13" t="e">
        <f t="shared" si="150"/>
        <v>#DIV/0!</v>
      </c>
      <c r="F74" s="43"/>
      <c r="G74" s="13" t="e">
        <f t="shared" si="151"/>
        <v>#DIV/0!</v>
      </c>
      <c r="H74" s="43">
        <v>0</v>
      </c>
      <c r="I74" s="13" t="e">
        <f t="shared" si="152"/>
        <v>#DIV/0!</v>
      </c>
      <c r="J74" s="43"/>
      <c r="K74" s="13" t="e">
        <f t="shared" si="153"/>
        <v>#DIV/0!</v>
      </c>
      <c r="L74" s="43"/>
      <c r="M74" s="13" t="e">
        <f t="shared" si="154"/>
        <v>#DIV/0!</v>
      </c>
      <c r="N74" s="14">
        <f t="shared" si="155"/>
        <v>0</v>
      </c>
      <c r="O74" s="15" t="e">
        <f t="shared" si="156"/>
        <v>#DIV/0!</v>
      </c>
    </row>
    <row r="75" spans="1:15">
      <c r="A75" s="9" t="s">
        <v>69</v>
      </c>
      <c r="B75" s="25">
        <f>SUM(B72:B74)</f>
        <v>0</v>
      </c>
      <c r="C75" s="13" t="e">
        <f t="shared" si="149"/>
        <v>#DIV/0!</v>
      </c>
      <c r="D75" s="25">
        <f>SUM(D72:D74)</f>
        <v>0</v>
      </c>
      <c r="E75" s="13" t="e">
        <f t="shared" si="150"/>
        <v>#DIV/0!</v>
      </c>
      <c r="F75" s="25">
        <f>SUM(F72:F74)</f>
        <v>0</v>
      </c>
      <c r="G75" s="13" t="e">
        <f t="shared" si="151"/>
        <v>#DIV/0!</v>
      </c>
      <c r="H75" s="25">
        <f>SUM(H72:H74)</f>
        <v>0</v>
      </c>
      <c r="I75" s="13" t="e">
        <f t="shared" si="152"/>
        <v>#DIV/0!</v>
      </c>
      <c r="J75" s="25">
        <f>SUM(J72:J74)</f>
        <v>0</v>
      </c>
      <c r="K75" s="13" t="e">
        <f t="shared" si="153"/>
        <v>#DIV/0!</v>
      </c>
      <c r="L75" s="25">
        <f>SUM(L72:L74)</f>
        <v>0</v>
      </c>
      <c r="M75" s="13" t="e">
        <f t="shared" si="154"/>
        <v>#DIV/0!</v>
      </c>
      <c r="N75" s="14">
        <f t="shared" si="155"/>
        <v>0</v>
      </c>
      <c r="O75" s="15" t="e">
        <f t="shared" si="156"/>
        <v>#DIV/0!</v>
      </c>
    </row>
    <row r="76" spans="1:15">
      <c r="A76" s="44" t="s">
        <v>70</v>
      </c>
      <c r="B76" s="45">
        <f>B61+B70+B75</f>
        <v>0</v>
      </c>
      <c r="C76" s="13" t="e">
        <f t="shared" ref="C76:C77" si="164">B76/$B$9</f>
        <v>#DIV/0!</v>
      </c>
      <c r="D76" s="45">
        <f>D61+D70+D75</f>
        <v>0</v>
      </c>
      <c r="E76" s="13" t="e">
        <f t="shared" si="113"/>
        <v>#DIV/0!</v>
      </c>
      <c r="F76" s="45">
        <f>F61+F70+F75</f>
        <v>0</v>
      </c>
      <c r="G76" s="13" t="e">
        <f t="shared" ref="G76:G77" si="165">F76/$F$9</f>
        <v>#DIV/0!</v>
      </c>
      <c r="H76" s="45">
        <f>H61+H70+H75</f>
        <v>0</v>
      </c>
      <c r="I76" s="13" t="e">
        <f t="shared" si="118"/>
        <v>#DIV/0!</v>
      </c>
      <c r="J76" s="45">
        <f>J61+J70+J75</f>
        <v>0</v>
      </c>
      <c r="K76" s="13" t="e">
        <f t="shared" si="115"/>
        <v>#DIV/0!</v>
      </c>
      <c r="L76" s="45">
        <f>L61+L70+L75</f>
        <v>0</v>
      </c>
      <c r="M76" s="13" t="e">
        <f t="shared" ref="M76:M77" si="166">L76/$L$9</f>
        <v>#DIV/0!</v>
      </c>
      <c r="N76" s="14">
        <f t="shared" si="155"/>
        <v>0</v>
      </c>
      <c r="O76" s="46" t="e">
        <f t="shared" ref="O76" si="167">N76/$N$9</f>
        <v>#DIV/0!</v>
      </c>
    </row>
    <row r="77" spans="1:15">
      <c r="A77" s="47" t="s">
        <v>71</v>
      </c>
      <c r="B77" s="45">
        <f>B37-B76</f>
        <v>0</v>
      </c>
      <c r="C77" s="13" t="e">
        <f t="shared" si="164"/>
        <v>#DIV/0!</v>
      </c>
      <c r="D77" s="45">
        <f>D37-D76</f>
        <v>0</v>
      </c>
      <c r="E77" s="13" t="e">
        <f t="shared" ref="E77" si="168">D77/$D$9</f>
        <v>#DIV/0!</v>
      </c>
      <c r="F77" s="45">
        <f>F37-F76</f>
        <v>0</v>
      </c>
      <c r="G77" s="13" t="e">
        <f t="shared" si="165"/>
        <v>#DIV/0!</v>
      </c>
      <c r="H77" s="45">
        <f>H37-H76</f>
        <v>0</v>
      </c>
      <c r="I77" s="13" t="e">
        <f t="shared" ref="I77" si="169">H77/$H$9</f>
        <v>#DIV/0!</v>
      </c>
      <c r="J77" s="45">
        <f>J37-J76</f>
        <v>0</v>
      </c>
      <c r="K77" s="13" t="e">
        <f t="shared" ref="K77" si="170">J77/$J$9</f>
        <v>#DIV/0!</v>
      </c>
      <c r="L77" s="45">
        <f>L37-L76</f>
        <v>0</v>
      </c>
      <c r="M77" s="13" t="e">
        <f t="shared" si="166"/>
        <v>#DIV/0!</v>
      </c>
      <c r="N77" s="14">
        <f t="shared" si="155"/>
        <v>0</v>
      </c>
      <c r="O77" s="46" t="e">
        <f t="shared" ref="O77" si="171">N77/$N$9</f>
        <v>#DIV/0!</v>
      </c>
    </row>
    <row r="78" spans="1:15">
      <c r="A78" s="47" t="s">
        <v>72</v>
      </c>
      <c r="B78" s="45">
        <f>B77</f>
        <v>0</v>
      </c>
      <c r="C78" s="13"/>
      <c r="D78" s="45">
        <f>B78+D77</f>
        <v>0</v>
      </c>
      <c r="E78" s="13"/>
      <c r="F78" s="45">
        <f>D78+F77</f>
        <v>0</v>
      </c>
      <c r="G78" s="13"/>
      <c r="H78" s="45">
        <f>F78+H77</f>
        <v>0</v>
      </c>
      <c r="I78" s="13"/>
      <c r="J78" s="45">
        <f>H78+J77</f>
        <v>0</v>
      </c>
      <c r="K78" s="13"/>
      <c r="L78" s="45">
        <f>J78+L77</f>
        <v>0</v>
      </c>
      <c r="M78" s="13"/>
      <c r="N78" s="48"/>
      <c r="O78" s="46"/>
    </row>
    <row r="79" ht="6" customHeight="1"/>
    <row r="80" spans="1:15">
      <c r="A80" s="9" t="s">
        <v>73</v>
      </c>
      <c r="B80" s="49">
        <v>0</v>
      </c>
      <c r="C80" s="13" t="e">
        <f t="shared" ref="C80:C81" si="172">B80/$B$8</f>
        <v>#DIV/0!</v>
      </c>
      <c r="D80" s="49">
        <v>0</v>
      </c>
      <c r="E80" s="13" t="e">
        <f t="shared" ref="E80:E81" si="173">D80/$D$8</f>
        <v>#DIV/0!</v>
      </c>
      <c r="F80" s="49">
        <v>0</v>
      </c>
      <c r="G80" s="13" t="e">
        <f t="shared" ref="G80:G81" si="174">F80/$F$8</f>
        <v>#DIV/0!</v>
      </c>
      <c r="H80" s="49">
        <v>0</v>
      </c>
      <c r="I80" s="13" t="e">
        <f t="shared" ref="I80:I81" si="175">H80/$H$8</f>
        <v>#DIV/0!</v>
      </c>
      <c r="J80" s="49">
        <v>0</v>
      </c>
      <c r="K80" s="13" t="e">
        <f t="shared" ref="K80:K81" si="176">J80/$J$8</f>
        <v>#DIV/0!</v>
      </c>
      <c r="L80" s="49">
        <v>0</v>
      </c>
      <c r="M80" s="13" t="e">
        <f t="shared" ref="M80:M81" si="177">L80/$L$8</f>
        <v>#DIV/0!</v>
      </c>
      <c r="N80" s="14">
        <f t="shared" ref="N80:N81" si="178">B80+D80+F80+H80+J80+L80</f>
        <v>0</v>
      </c>
      <c r="O80" s="15" t="e">
        <f t="shared" ref="O80:O81" si="179">N80/$N$8</f>
        <v>#DIV/0!</v>
      </c>
    </row>
    <row r="81" spans="1:15">
      <c r="A81" s="9" t="s">
        <v>73</v>
      </c>
      <c r="B81" s="50">
        <v>0</v>
      </c>
      <c r="C81" s="51" t="e">
        <f t="shared" si="172"/>
        <v>#DIV/0!</v>
      </c>
      <c r="D81" s="50">
        <v>0</v>
      </c>
      <c r="E81" s="13" t="e">
        <f t="shared" si="173"/>
        <v>#DIV/0!</v>
      </c>
      <c r="F81" s="50">
        <v>0</v>
      </c>
      <c r="G81" s="13" t="e">
        <f t="shared" si="174"/>
        <v>#DIV/0!</v>
      </c>
      <c r="H81" s="50">
        <v>0</v>
      </c>
      <c r="I81" s="13" t="e">
        <f t="shared" si="175"/>
        <v>#DIV/0!</v>
      </c>
      <c r="J81" s="50">
        <v>0</v>
      </c>
      <c r="K81" s="13" t="e">
        <f t="shared" si="176"/>
        <v>#DIV/0!</v>
      </c>
      <c r="L81" s="50">
        <v>0</v>
      </c>
      <c r="M81" s="13" t="e">
        <f t="shared" si="177"/>
        <v>#DIV/0!</v>
      </c>
      <c r="N81" s="14">
        <f t="shared" si="178"/>
        <v>0</v>
      </c>
      <c r="O81" s="15" t="e">
        <f t="shared" si="179"/>
        <v>#DIV/0!</v>
      </c>
    </row>
    <row r="82" ht="6" customHeight="1"/>
    <row r="83" ht="6" customHeight="1"/>
    <row r="84" spans="1:15">
      <c r="A84" s="52" t="s">
        <v>74</v>
      </c>
      <c r="B84" s="25">
        <v>0</v>
      </c>
      <c r="C84" s="13" t="e">
        <f t="shared" ref="C84:C100" si="180">B84/$B$9</f>
        <v>#DIV/0!</v>
      </c>
      <c r="D84" s="25"/>
      <c r="E84" s="13" t="e">
        <f t="shared" ref="E84:E100" si="181">D84/$D$9</f>
        <v>#DIV/0!</v>
      </c>
      <c r="F84" s="25"/>
      <c r="G84" s="13" t="e">
        <f t="shared" ref="G84:G100" si="182">F84/$F$9</f>
        <v>#DIV/0!</v>
      </c>
      <c r="H84" s="25"/>
      <c r="I84" s="13" t="e">
        <f t="shared" ref="I84:I100" si="183">H84/$H$9</f>
        <v>#DIV/0!</v>
      </c>
      <c r="J84" s="25"/>
      <c r="K84" s="13" t="e">
        <f t="shared" ref="K84:K100" si="184">J84/$J$9</f>
        <v>#DIV/0!</v>
      </c>
      <c r="L84" s="25"/>
      <c r="M84" s="13" t="e">
        <f t="shared" ref="M84:M100" si="185">L84/$L$9</f>
        <v>#DIV/0!</v>
      </c>
      <c r="N84" s="14">
        <f t="shared" ref="N84:N100" si="186">B84+D84+F84+H84+J84+L84</f>
        <v>0</v>
      </c>
      <c r="O84" s="15" t="e">
        <f t="shared" ref="O84:O100" si="187">N84/$N$9</f>
        <v>#DIV/0!</v>
      </c>
    </row>
    <row r="85" spans="1:15">
      <c r="A85" s="52" t="s">
        <v>75</v>
      </c>
      <c r="B85" s="25">
        <v>0</v>
      </c>
      <c r="C85" s="13" t="e">
        <f t="shared" ref="C85:C88" si="188">B85/$B$9</f>
        <v>#DIV/0!</v>
      </c>
      <c r="D85" s="25"/>
      <c r="E85" s="13" t="e">
        <f t="shared" ref="E85:E88" si="189">D85/$D$9</f>
        <v>#DIV/0!</v>
      </c>
      <c r="F85" s="25"/>
      <c r="G85" s="13" t="e">
        <f t="shared" ref="G85:G88" si="190">F85/$F$9</f>
        <v>#DIV/0!</v>
      </c>
      <c r="H85" s="25"/>
      <c r="I85" s="13" t="e">
        <f t="shared" ref="I85:I88" si="191">H85/$H$9</f>
        <v>#DIV/0!</v>
      </c>
      <c r="J85" s="25"/>
      <c r="K85" s="13" t="e">
        <f t="shared" ref="K85:K88" si="192">J85/$J$9</f>
        <v>#DIV/0!</v>
      </c>
      <c r="L85" s="25"/>
      <c r="M85" s="13" t="e">
        <f t="shared" ref="M85:M88" si="193">L85/$L$9</f>
        <v>#DIV/0!</v>
      </c>
      <c r="N85" s="14">
        <f t="shared" ref="N85:N88" si="194">B85+D85+F85+H85+J85+L85</f>
        <v>0</v>
      </c>
      <c r="O85" s="15" t="e">
        <f t="shared" ref="O85:O88" si="195">N85/$N$9</f>
        <v>#DIV/0!</v>
      </c>
    </row>
    <row r="86" spans="1:15">
      <c r="A86" s="52" t="s">
        <v>76</v>
      </c>
      <c r="B86" s="25">
        <v>0</v>
      </c>
      <c r="C86" s="13" t="e">
        <f t="shared" si="188"/>
        <v>#DIV/0!</v>
      </c>
      <c r="D86" s="25"/>
      <c r="E86" s="13" t="e">
        <f t="shared" si="189"/>
        <v>#DIV/0!</v>
      </c>
      <c r="F86" s="25"/>
      <c r="G86" s="13" t="e">
        <f t="shared" si="190"/>
        <v>#DIV/0!</v>
      </c>
      <c r="H86" s="25"/>
      <c r="I86" s="13" t="e">
        <f t="shared" si="191"/>
        <v>#DIV/0!</v>
      </c>
      <c r="J86" s="25"/>
      <c r="K86" s="13" t="e">
        <f t="shared" si="192"/>
        <v>#DIV/0!</v>
      </c>
      <c r="L86" s="25"/>
      <c r="M86" s="13" t="e">
        <f t="shared" si="193"/>
        <v>#DIV/0!</v>
      </c>
      <c r="N86" s="14">
        <f t="shared" si="194"/>
        <v>0</v>
      </c>
      <c r="O86" s="15" t="e">
        <f t="shared" si="195"/>
        <v>#DIV/0!</v>
      </c>
    </row>
    <row r="87" spans="1:15">
      <c r="A87" s="52"/>
      <c r="B87" s="25">
        <v>0</v>
      </c>
      <c r="C87" s="13" t="e">
        <f t="shared" ref="C87" si="196">B87/$B$9</f>
        <v>#DIV/0!</v>
      </c>
      <c r="D87" s="25"/>
      <c r="E87" s="13" t="e">
        <f t="shared" ref="E87" si="197">D87/$D$9</f>
        <v>#DIV/0!</v>
      </c>
      <c r="F87" s="25"/>
      <c r="G87" s="13" t="e">
        <f t="shared" ref="G87" si="198">F87/$F$9</f>
        <v>#DIV/0!</v>
      </c>
      <c r="H87" s="25"/>
      <c r="I87" s="13" t="e">
        <f t="shared" ref="I87" si="199">H87/$H$9</f>
        <v>#DIV/0!</v>
      </c>
      <c r="J87" s="25"/>
      <c r="K87" s="13" t="e">
        <f t="shared" ref="K87" si="200">J87/$J$9</f>
        <v>#DIV/0!</v>
      </c>
      <c r="L87" s="25"/>
      <c r="M87" s="13" t="e">
        <f t="shared" ref="M87" si="201">L87/$L$9</f>
        <v>#DIV/0!</v>
      </c>
      <c r="N87" s="14">
        <f t="shared" ref="N87" si="202">B87+D87+F87+H87+J87+L87</f>
        <v>0</v>
      </c>
      <c r="O87" s="15" t="e">
        <f t="shared" ref="O87" si="203">N87/$N$9</f>
        <v>#DIV/0!</v>
      </c>
    </row>
    <row r="88" spans="1:15">
      <c r="A88" s="52"/>
      <c r="B88" s="25">
        <v>0</v>
      </c>
      <c r="C88" s="13" t="e">
        <f t="shared" si="188"/>
        <v>#DIV/0!</v>
      </c>
      <c r="D88" s="25"/>
      <c r="E88" s="13" t="e">
        <f t="shared" si="189"/>
        <v>#DIV/0!</v>
      </c>
      <c r="F88" s="25"/>
      <c r="G88" s="13" t="e">
        <f t="shared" si="190"/>
        <v>#DIV/0!</v>
      </c>
      <c r="H88" s="25"/>
      <c r="I88" s="13" t="e">
        <f t="shared" si="191"/>
        <v>#DIV/0!</v>
      </c>
      <c r="J88" s="25"/>
      <c r="K88" s="13" t="e">
        <f t="shared" si="192"/>
        <v>#DIV/0!</v>
      </c>
      <c r="L88" s="25"/>
      <c r="M88" s="13" t="e">
        <f t="shared" si="193"/>
        <v>#DIV/0!</v>
      </c>
      <c r="N88" s="14">
        <f t="shared" si="194"/>
        <v>0</v>
      </c>
      <c r="O88" s="15" t="e">
        <f t="shared" si="195"/>
        <v>#DIV/0!</v>
      </c>
    </row>
    <row r="89" spans="1:15">
      <c r="A89" s="52"/>
      <c r="B89" s="25">
        <v>0</v>
      </c>
      <c r="C89" s="13" t="e">
        <f t="shared" si="180"/>
        <v>#DIV/0!</v>
      </c>
      <c r="D89" s="25"/>
      <c r="E89" s="13" t="e">
        <f t="shared" si="181"/>
        <v>#DIV/0!</v>
      </c>
      <c r="F89" s="25"/>
      <c r="G89" s="13" t="e">
        <f t="shared" si="182"/>
        <v>#DIV/0!</v>
      </c>
      <c r="H89" s="25"/>
      <c r="I89" s="13" t="e">
        <f t="shared" si="183"/>
        <v>#DIV/0!</v>
      </c>
      <c r="J89" s="25"/>
      <c r="K89" s="13" t="e">
        <f t="shared" si="184"/>
        <v>#DIV/0!</v>
      </c>
      <c r="L89" s="25"/>
      <c r="M89" s="13" t="e">
        <f t="shared" si="185"/>
        <v>#DIV/0!</v>
      </c>
      <c r="N89" s="14">
        <f t="shared" si="186"/>
        <v>0</v>
      </c>
      <c r="O89" s="15" t="e">
        <f t="shared" si="187"/>
        <v>#DIV/0!</v>
      </c>
    </row>
    <row r="90" spans="1:15">
      <c r="A90" s="52"/>
      <c r="B90" s="25">
        <v>0</v>
      </c>
      <c r="C90" s="13" t="e">
        <f t="shared" si="180"/>
        <v>#DIV/0!</v>
      </c>
      <c r="D90" s="25"/>
      <c r="E90" s="13" t="e">
        <f t="shared" si="181"/>
        <v>#DIV/0!</v>
      </c>
      <c r="F90" s="25"/>
      <c r="G90" s="13" t="e">
        <f t="shared" si="182"/>
        <v>#DIV/0!</v>
      </c>
      <c r="H90" s="25"/>
      <c r="I90" s="13" t="e">
        <f t="shared" si="183"/>
        <v>#DIV/0!</v>
      </c>
      <c r="J90" s="25"/>
      <c r="K90" s="13" t="e">
        <f t="shared" si="184"/>
        <v>#DIV/0!</v>
      </c>
      <c r="L90" s="25"/>
      <c r="M90" s="13" t="e">
        <f t="shared" si="185"/>
        <v>#DIV/0!</v>
      </c>
      <c r="N90" s="14">
        <f t="shared" si="186"/>
        <v>0</v>
      </c>
      <c r="O90" s="15" t="e">
        <f t="shared" si="187"/>
        <v>#DIV/0!</v>
      </c>
    </row>
    <row r="91" spans="1:15">
      <c r="A91" s="52"/>
      <c r="B91" s="25">
        <v>0</v>
      </c>
      <c r="C91" s="13" t="e">
        <f t="shared" ref="C91:C92" si="204">B91/$B$9</f>
        <v>#DIV/0!</v>
      </c>
      <c r="D91" s="25"/>
      <c r="E91" s="13" t="e">
        <f t="shared" ref="E91:E92" si="205">D91/$D$9</f>
        <v>#DIV/0!</v>
      </c>
      <c r="F91" s="25"/>
      <c r="G91" s="13" t="e">
        <f t="shared" ref="G91:G92" si="206">F91/$F$9</f>
        <v>#DIV/0!</v>
      </c>
      <c r="H91" s="25"/>
      <c r="I91" s="13" t="e">
        <f t="shared" ref="I91:I92" si="207">H91/$H$9</f>
        <v>#DIV/0!</v>
      </c>
      <c r="J91" s="25"/>
      <c r="K91" s="13" t="e">
        <f t="shared" ref="K91:K92" si="208">J91/$J$9</f>
        <v>#DIV/0!</v>
      </c>
      <c r="L91" s="25"/>
      <c r="M91" s="13" t="e">
        <f t="shared" ref="M91:M92" si="209">L91/$L$9</f>
        <v>#DIV/0!</v>
      </c>
      <c r="N91" s="14">
        <f t="shared" ref="N91:N92" si="210">B91+D91+F91+H91+J91+L91</f>
        <v>0</v>
      </c>
      <c r="O91" s="15" t="e">
        <f t="shared" ref="O91:O92" si="211">N91/$N$9</f>
        <v>#DIV/0!</v>
      </c>
    </row>
    <row r="92" spans="1:15">
      <c r="A92" s="52"/>
      <c r="B92" s="25">
        <v>0</v>
      </c>
      <c r="C92" s="13" t="e">
        <f t="shared" si="204"/>
        <v>#DIV/0!</v>
      </c>
      <c r="D92" s="25"/>
      <c r="E92" s="13" t="e">
        <f t="shared" si="205"/>
        <v>#DIV/0!</v>
      </c>
      <c r="F92" s="25"/>
      <c r="G92" s="13" t="e">
        <f t="shared" si="206"/>
        <v>#DIV/0!</v>
      </c>
      <c r="H92" s="25"/>
      <c r="I92" s="13" t="e">
        <f t="shared" si="207"/>
        <v>#DIV/0!</v>
      </c>
      <c r="J92" s="25"/>
      <c r="K92" s="13" t="e">
        <f t="shared" si="208"/>
        <v>#DIV/0!</v>
      </c>
      <c r="L92" s="25"/>
      <c r="M92" s="13" t="e">
        <f t="shared" si="209"/>
        <v>#DIV/0!</v>
      </c>
      <c r="N92" s="14">
        <f t="shared" si="210"/>
        <v>0</v>
      </c>
      <c r="O92" s="15" t="e">
        <f t="shared" si="211"/>
        <v>#DIV/0!</v>
      </c>
    </row>
    <row r="93" spans="1:15">
      <c r="A93" s="52"/>
      <c r="B93" s="25">
        <v>0</v>
      </c>
      <c r="C93" s="13" t="e">
        <f t="shared" si="180"/>
        <v>#DIV/0!</v>
      </c>
      <c r="D93" s="25"/>
      <c r="E93" s="13" t="e">
        <f t="shared" si="181"/>
        <v>#DIV/0!</v>
      </c>
      <c r="F93" s="25"/>
      <c r="G93" s="13" t="e">
        <f t="shared" si="182"/>
        <v>#DIV/0!</v>
      </c>
      <c r="H93" s="25"/>
      <c r="I93" s="13" t="e">
        <f t="shared" si="183"/>
        <v>#DIV/0!</v>
      </c>
      <c r="J93" s="25"/>
      <c r="K93" s="13" t="e">
        <f t="shared" si="184"/>
        <v>#DIV/0!</v>
      </c>
      <c r="L93" s="25"/>
      <c r="M93" s="13" t="e">
        <f t="shared" si="185"/>
        <v>#DIV/0!</v>
      </c>
      <c r="N93" s="14">
        <f t="shared" si="186"/>
        <v>0</v>
      </c>
      <c r="O93" s="15" t="e">
        <f t="shared" si="187"/>
        <v>#DIV/0!</v>
      </c>
    </row>
    <row r="94" spans="1:15">
      <c r="A94" s="52"/>
      <c r="B94" s="25">
        <v>0</v>
      </c>
      <c r="C94" s="13" t="e">
        <f t="shared" ref="C94" si="212">B94/$B$9</f>
        <v>#DIV/0!</v>
      </c>
      <c r="D94" s="25"/>
      <c r="E94" s="13" t="e">
        <f t="shared" ref="E94" si="213">D94/$D$9</f>
        <v>#DIV/0!</v>
      </c>
      <c r="F94" s="25"/>
      <c r="G94" s="13" t="e">
        <f t="shared" ref="G94" si="214">F94/$F$9</f>
        <v>#DIV/0!</v>
      </c>
      <c r="H94" s="25"/>
      <c r="I94" s="13" t="e">
        <f t="shared" ref="I94" si="215">H94/$H$9</f>
        <v>#DIV/0!</v>
      </c>
      <c r="J94" s="25"/>
      <c r="K94" s="13" t="e">
        <f t="shared" ref="K94" si="216">J94/$J$9</f>
        <v>#DIV/0!</v>
      </c>
      <c r="L94" s="25"/>
      <c r="M94" s="13" t="e">
        <f t="shared" ref="M94" si="217">L94/$L$9</f>
        <v>#DIV/0!</v>
      </c>
      <c r="N94" s="14">
        <f t="shared" ref="N94" si="218">B94+D94+F94+H94+J94+L94</f>
        <v>0</v>
      </c>
      <c r="O94" s="15" t="e">
        <f t="shared" ref="O94" si="219">N94/$N$9</f>
        <v>#DIV/0!</v>
      </c>
    </row>
    <row r="95" spans="1:15">
      <c r="A95" s="52"/>
      <c r="B95" s="25">
        <v>0</v>
      </c>
      <c r="C95" s="13" t="e">
        <f t="shared" si="180"/>
        <v>#DIV/0!</v>
      </c>
      <c r="D95" s="25"/>
      <c r="E95" s="13" t="e">
        <f t="shared" si="181"/>
        <v>#DIV/0!</v>
      </c>
      <c r="F95" s="25"/>
      <c r="G95" s="13" t="e">
        <f t="shared" si="182"/>
        <v>#DIV/0!</v>
      </c>
      <c r="H95" s="25"/>
      <c r="I95" s="13" t="e">
        <f t="shared" si="183"/>
        <v>#DIV/0!</v>
      </c>
      <c r="J95" s="25"/>
      <c r="K95" s="13" t="e">
        <f t="shared" si="184"/>
        <v>#DIV/0!</v>
      </c>
      <c r="L95" s="25"/>
      <c r="M95" s="13" t="e">
        <f t="shared" si="185"/>
        <v>#DIV/0!</v>
      </c>
      <c r="N95" s="14">
        <f t="shared" si="186"/>
        <v>0</v>
      </c>
      <c r="O95" s="15" t="e">
        <f t="shared" si="187"/>
        <v>#DIV/0!</v>
      </c>
    </row>
    <row r="96" spans="1:15">
      <c r="A96" s="52"/>
      <c r="B96" s="25">
        <v>0</v>
      </c>
      <c r="C96" s="13" t="e">
        <f t="shared" ref="C96" si="220">B96/$B$9</f>
        <v>#DIV/0!</v>
      </c>
      <c r="D96" s="25"/>
      <c r="E96" s="13" t="e">
        <f t="shared" ref="E96" si="221">D96/$D$9</f>
        <v>#DIV/0!</v>
      </c>
      <c r="F96" s="25"/>
      <c r="G96" s="13" t="e">
        <f t="shared" ref="G96" si="222">F96/$F$9</f>
        <v>#DIV/0!</v>
      </c>
      <c r="H96" s="25"/>
      <c r="I96" s="13" t="e">
        <f t="shared" ref="I96" si="223">H96/$H$9</f>
        <v>#DIV/0!</v>
      </c>
      <c r="J96" s="25"/>
      <c r="K96" s="13" t="e">
        <f t="shared" ref="K96" si="224">J96/$J$9</f>
        <v>#DIV/0!</v>
      </c>
      <c r="L96" s="25"/>
      <c r="M96" s="13" t="e">
        <f t="shared" ref="M96" si="225">L96/$L$9</f>
        <v>#DIV/0!</v>
      </c>
      <c r="N96" s="14">
        <f t="shared" si="186"/>
        <v>0</v>
      </c>
      <c r="O96" s="15" t="e">
        <f t="shared" ref="O96" si="226">N96/$N$9</f>
        <v>#DIV/0!</v>
      </c>
    </row>
    <row r="97" spans="1:15">
      <c r="A97" s="52"/>
      <c r="B97" s="25">
        <v>0</v>
      </c>
      <c r="C97" s="13" t="e">
        <f t="shared" si="180"/>
        <v>#DIV/0!</v>
      </c>
      <c r="D97" s="25"/>
      <c r="E97" s="13" t="e">
        <f t="shared" si="181"/>
        <v>#DIV/0!</v>
      </c>
      <c r="F97" s="25"/>
      <c r="G97" s="13" t="e">
        <f t="shared" si="182"/>
        <v>#DIV/0!</v>
      </c>
      <c r="H97" s="25"/>
      <c r="I97" s="13" t="e">
        <f t="shared" si="183"/>
        <v>#DIV/0!</v>
      </c>
      <c r="J97" s="25"/>
      <c r="K97" s="13" t="e">
        <f t="shared" si="184"/>
        <v>#DIV/0!</v>
      </c>
      <c r="L97" s="25"/>
      <c r="M97" s="13" t="e">
        <f t="shared" si="185"/>
        <v>#DIV/0!</v>
      </c>
      <c r="N97" s="14">
        <f t="shared" si="186"/>
        <v>0</v>
      </c>
      <c r="O97" s="15" t="e">
        <f t="shared" si="187"/>
        <v>#DIV/0!</v>
      </c>
    </row>
    <row r="98" spans="1:15">
      <c r="A98" s="52"/>
      <c r="B98" s="25"/>
      <c r="C98" s="13" t="e">
        <f t="shared" ref="C98" si="227">B98/$B$9</f>
        <v>#DIV/0!</v>
      </c>
      <c r="D98" s="25"/>
      <c r="E98" s="13" t="e">
        <f t="shared" ref="E98" si="228">D98/$D$9</f>
        <v>#DIV/0!</v>
      </c>
      <c r="F98" s="25"/>
      <c r="G98" s="13" t="e">
        <f t="shared" ref="G98" si="229">F98/$F$9</f>
        <v>#DIV/0!</v>
      </c>
      <c r="H98" s="25"/>
      <c r="I98" s="13" t="e">
        <f t="shared" ref="I98" si="230">H98/$H$9</f>
        <v>#DIV/0!</v>
      </c>
      <c r="J98" s="25"/>
      <c r="K98" s="13" t="e">
        <f t="shared" ref="K98" si="231">J98/$J$9</f>
        <v>#DIV/0!</v>
      </c>
      <c r="L98" s="25"/>
      <c r="M98" s="13" t="e">
        <f t="shared" ref="M98" si="232">L98/$L$9</f>
        <v>#DIV/0!</v>
      </c>
      <c r="N98" s="14">
        <f t="shared" si="186"/>
        <v>0</v>
      </c>
      <c r="O98" s="15" t="e">
        <f t="shared" ref="O98" si="233">N98/$N$9</f>
        <v>#DIV/0!</v>
      </c>
    </row>
    <row r="99" spans="1:15">
      <c r="A99" s="53" t="s">
        <v>77</v>
      </c>
      <c r="B99" s="45">
        <f>SUM(B84:B97)</f>
        <v>0</v>
      </c>
      <c r="C99" s="13" t="e">
        <f t="shared" si="180"/>
        <v>#DIV/0!</v>
      </c>
      <c r="D99" s="45">
        <f>SUM(D84:D97)</f>
        <v>0</v>
      </c>
      <c r="E99" s="13" t="e">
        <f t="shared" si="181"/>
        <v>#DIV/0!</v>
      </c>
      <c r="F99" s="45">
        <f>SUM(F84:F97)</f>
        <v>0</v>
      </c>
      <c r="G99" s="13" t="e">
        <f t="shared" si="182"/>
        <v>#DIV/0!</v>
      </c>
      <c r="H99" s="45">
        <f>SUM(H84:H97)</f>
        <v>0</v>
      </c>
      <c r="I99" s="13" t="e">
        <f t="shared" si="183"/>
        <v>#DIV/0!</v>
      </c>
      <c r="J99" s="45">
        <f>SUM(J84:J97)</f>
        <v>0</v>
      </c>
      <c r="K99" s="13" t="e">
        <f t="shared" si="184"/>
        <v>#DIV/0!</v>
      </c>
      <c r="L99" s="45">
        <f>SUM(L84:L97)</f>
        <v>0</v>
      </c>
      <c r="M99" s="13" t="e">
        <f t="shared" si="185"/>
        <v>#DIV/0!</v>
      </c>
      <c r="N99" s="14">
        <f t="shared" si="186"/>
        <v>0</v>
      </c>
      <c r="O99" s="46" t="e">
        <f t="shared" si="187"/>
        <v>#DIV/0!</v>
      </c>
    </row>
    <row r="100" spans="1:15">
      <c r="A100" s="44" t="s">
        <v>78</v>
      </c>
      <c r="B100" s="45">
        <f>B77-B99</f>
        <v>0</v>
      </c>
      <c r="C100" s="13" t="e">
        <f t="shared" si="180"/>
        <v>#DIV/0!</v>
      </c>
      <c r="D100" s="45">
        <f>D77-D99</f>
        <v>0</v>
      </c>
      <c r="E100" s="13" t="e">
        <f t="shared" si="181"/>
        <v>#DIV/0!</v>
      </c>
      <c r="F100" s="45">
        <f>F77-F99</f>
        <v>0</v>
      </c>
      <c r="G100" s="13" t="e">
        <f t="shared" si="182"/>
        <v>#DIV/0!</v>
      </c>
      <c r="H100" s="45">
        <f>H77-H99</f>
        <v>0</v>
      </c>
      <c r="I100" s="13" t="e">
        <f t="shared" si="183"/>
        <v>#DIV/0!</v>
      </c>
      <c r="J100" s="45">
        <f>J77-J99</f>
        <v>0</v>
      </c>
      <c r="K100" s="13" t="e">
        <f t="shared" si="184"/>
        <v>#DIV/0!</v>
      </c>
      <c r="L100" s="45">
        <f>L77-L99</f>
        <v>0</v>
      </c>
      <c r="M100" s="13" t="e">
        <f t="shared" si="185"/>
        <v>#DIV/0!</v>
      </c>
      <c r="N100" s="14">
        <f t="shared" si="186"/>
        <v>0</v>
      </c>
      <c r="O100" s="46" t="e">
        <f t="shared" si="187"/>
        <v>#DIV/0!</v>
      </c>
    </row>
    <row r="101" spans="1:15">
      <c r="A101" s="47" t="s">
        <v>79</v>
      </c>
      <c r="B101" s="45">
        <f>B100</f>
        <v>0</v>
      </c>
      <c r="C101" s="13"/>
      <c r="D101" s="45">
        <f>B101+D100</f>
        <v>0</v>
      </c>
      <c r="E101" s="13"/>
      <c r="F101" s="45">
        <f>D101+F100</f>
        <v>0</v>
      </c>
      <c r="G101" s="13"/>
      <c r="H101" s="45">
        <f>F101+H100</f>
        <v>0</v>
      </c>
      <c r="I101" s="13"/>
      <c r="J101" s="45">
        <f>H101+J100</f>
        <v>0</v>
      </c>
      <c r="K101" s="13"/>
      <c r="L101" s="45">
        <f>J101+L100</f>
        <v>0</v>
      </c>
      <c r="M101" s="13"/>
      <c r="N101" s="45"/>
      <c r="O101" s="46"/>
    </row>
    <row r="102" hidden="1" spans="1:15">
      <c r="D102" s="2">
        <v>14983.97</v>
      </c>
      <c r="F102" s="2">
        <v>14983.97</v>
      </c>
      <c r="H102" s="2">
        <v>14983.97</v>
      </c>
      <c r="J102" s="2">
        <v>14983.97</v>
      </c>
      <c r="L102" s="2">
        <v>16765.57</v>
      </c>
    </row>
    <row r="103" hidden="1"/>
    <row r="109" spans="1:15">
      <c r="H109" s="54"/>
    </row>
    <row r="110" spans="1:15">
      <c r="H110" s="54"/>
    </row>
    <row r="111" spans="1:15">
      <c r="D111" s="55"/>
      <c r="H111" s="54"/>
    </row>
    <row r="112" spans="1:15">
      <c r="H112" s="54"/>
      <c r="J112" s="19"/>
    </row>
    <row r="113" spans="8:8">
      <c r="H113" s="54"/>
    </row>
    <row r="114" spans="8:8">
      <c r="H114" s="54"/>
    </row>
    <row r="115" spans="8:8">
      <c r="H115" s="54"/>
    </row>
    <row r="116" spans="8:8">
      <c r="H116" s="54"/>
    </row>
    <row r="117" spans="8:8">
      <c r="H117" s="54"/>
    </row>
    <row r="118" spans="8:8">
      <c r="H118" s="19"/>
    </row>
  </sheetData>
  <mergeCells count="3">
    <mergeCell ref="B1:O1"/>
    <mergeCell ref="N10:O10"/>
    <mergeCell ref="N16:O16"/>
  </mergeCells>
  <printOptions horizontalCentered="1" verticalCentered="1"/>
  <pageMargins left="0.25" right="0.25" top="0.75" bottom="0.75" header="0.3" footer="0.3"/>
  <pageSetup paperSize="9" scale="49" orientation="landscape" horizontalDpi="1200" verticalDpi="1200"/>
  <headerFooter/>
  <ignoredErrors>
    <ignoredError sqref="R14:Y16 S10:Y10 T9:Y9 R76:Y79 R41:Y41 R43:Y43 R61:Y61 R37:Y39 R18:Y18 R45:Y45 R48:Y48 R51:Y52 C76:C77 G14 E14 R59:Y59 R55:Y55 C9 R11:Y11 C14:C15" formula="1"/>
    <ignoredError sqref="P14:Q15 P41:Q41 M41 M43 P43:Q43 Q61 M37:M39 P37:Q39 P18:Q18 M18 P45:Q45 M45 M48 P48:Q48 P51:Q52 N78:Q79 C78:C79 E77:E79 I14:I16 G15:G16 E15:E16 P59:Q59 P55:Q55 C38 G9:G11 E9:E11 C10 P11:Q11 M76:M77 G76:G79 I77:I78 I37:I38 G38 E38 C16 P76:Q77 M51 M16:P16 N38:O38 N10:O10" evalError="1" formula="1"/>
    <ignoredError sqref="O4 J15:K15 O8:O9 I11 K11 C4 E4 G4 I4 K4 M4 L77 L61 O39 K37 M11 M8:M9 J38:L38 K8:K9 F61 D61 C8 B79 F10 B77 J77 D14:D16 F14:F16 J14:L14 B14:B16 O77 O51 I8:I9 O14:O15 O18 O45 O48 J78:M79 D77:D79 F77:F79 H15:H16 B38 D38 G8 E8 B10 D10 O11 H77:H78 H79:I79 F38 H38 K16:L16 H10:M1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DRE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Metalguss</dc:creator>
  <cp:lastModifiedBy>filip</cp:lastModifiedBy>
  <dcterms:created xsi:type="dcterms:W3CDTF">2010-12-08T13:18:00Z</dcterms:created>
  <cp:lastPrinted>2019-01-21T16:38:00Z</cp:lastPrinted>
  <dcterms:modified xsi:type="dcterms:W3CDTF">2026-07-13T00:03:51Z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7AD97FC8DCBA43378000A2AE49CC6FAB_12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